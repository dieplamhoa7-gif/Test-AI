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cro_Drivers" sheetId="3" state="visible" r:id="rId3"/>
    <sheet xmlns:r="http://schemas.openxmlformats.org/officeDocument/2006/relationships" name="Historical_5Y" sheetId="4" state="visible" r:id="rId4"/>
    <sheet xmlns:r="http://schemas.openxmlformats.org/officeDocument/2006/relationships" name="Segment_Historical" sheetId="5" state="visible" r:id="rId5"/>
    <sheet xmlns:r="http://schemas.openxmlformats.org/officeDocument/2006/relationships" name="Micro_Drivers" sheetId="6" state="visible" r:id="rId6"/>
    <sheet xmlns:r="http://schemas.openxmlformats.org/officeDocument/2006/relationships" name="TGDD_Forecast" sheetId="7" state="visible" r:id="rId7"/>
    <sheet xmlns:r="http://schemas.openxmlformats.org/officeDocument/2006/relationships" name="DMX_Forecast" sheetId="8" state="visible" r:id="rId8"/>
    <sheet xmlns:r="http://schemas.openxmlformats.org/officeDocument/2006/relationships" name="BHX_Forecast" sheetId="9" state="visible" r:id="rId9"/>
    <sheet xmlns:r="http://schemas.openxmlformats.org/officeDocument/2006/relationships" name="Other_Subsidiaries" sheetId="10" state="visible" r:id="rId10"/>
    <sheet xmlns:r="http://schemas.openxmlformats.org/officeDocument/2006/relationships" name="Consolidated_Forecast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SOTP" sheetId="13" state="visible" r:id="rId13"/>
    <sheet xmlns:r="http://schemas.openxmlformats.org/officeDocument/2006/relationships" name="IPO_DMX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Manual_Input_Notes" sheetId="17" state="visible" r:id="rId17"/>
    <sheet xmlns:r="http://schemas.openxmlformats.org/officeDocument/2006/relationships" name="Segment_PnL" sheetId="18" state="visible" r:id="rId18"/>
    <sheet xmlns:r="http://schemas.openxmlformats.org/officeDocument/2006/relationships" name="Peer_Multiples" sheetId="19" state="visible" r:id="rId19"/>
    <sheet xmlns:r="http://schemas.openxmlformats.org/officeDocument/2006/relationships" name="BHX_Unit_Economics" sheetId="20" state="visible" r:id="rId20"/>
    <sheet xmlns:r="http://schemas.openxmlformats.org/officeDocument/2006/relationships" name="DMX_IPO_DeepDive" sheetId="21" state="visible" r:id="rId21"/>
    <sheet xmlns:r="http://schemas.openxmlformats.org/officeDocument/2006/relationships" name="Scenario_Output" sheetId="22" state="visible" r:id="rId22"/>
    <sheet xmlns:r="http://schemas.openxmlformats.org/officeDocument/2006/relationships" name="Data_Quality" sheetId="23" state="visible" r:id="rId23"/>
    <sheet xmlns:r="http://schemas.openxmlformats.org/officeDocument/2006/relationships" name="Required_Exac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1" t="inlineStr">
        <is>
          <t>MWG VALUATION MODEL V3 - DRIVER-BASED BY SEGMENT</t>
        </is>
      </c>
      <c r="B3" s="2" t="n"/>
    </row>
    <row r="4">
      <c r="A4" s="2" t="n"/>
      <c r="B4" s="2" t="n"/>
    </row>
    <row r="5">
      <c r="A5" s="2" t="inlineStr">
        <is>
          <t>Mục tiêu</t>
        </is>
      </c>
      <c r="B5" s="2" t="inlineStr">
        <is>
          <t>Forecast MWG theo từng ngành/mảng: TGDD (điện thoại), ĐMX (điện máy), BHX (grocery), mảng khác. Giả định liên kết với vĩ mô + vi mô doanh nghiệp.</t>
        </is>
      </c>
    </row>
    <row r="6">
      <c r="A6" s="2" t="n"/>
      <c r="B6" s="2" t="n"/>
    </row>
    <row r="7">
      <c r="A7" s="2" t="inlineStr">
        <is>
          <t>Kết quả định giá</t>
        </is>
      </c>
      <c r="B7" s="2" t="n"/>
    </row>
    <row r="8">
      <c r="A8" s="3" t="inlineStr">
        <is>
          <t>DCF value/share</t>
        </is>
      </c>
      <c r="B8" s="2">
        <f>DCF!B12</f>
        <v/>
      </c>
    </row>
    <row r="9">
      <c r="A9" s="3" t="inlineStr">
        <is>
          <t>SOTP value/share</t>
        </is>
      </c>
      <c r="B9" s="2">
        <f>SOTP!F12</f>
        <v/>
      </c>
    </row>
    <row r="10">
      <c r="A10" s="3" t="inlineStr">
        <is>
          <t>IPO ĐMX adjusted value/share</t>
        </is>
      </c>
      <c r="B10" s="2">
        <f>IPO_DMX!B10</f>
        <v/>
      </c>
    </row>
    <row r="11">
      <c r="A11" s="3" t="inlineStr">
        <is>
          <t>Blended target price</t>
        </is>
      </c>
      <c r="B11" s="2">
        <f>B6*0.4+B7*0.4+B8*0.2</f>
        <v/>
      </c>
    </row>
    <row r="12">
      <c r="A12" s="3" t="inlineStr">
        <is>
          <t>Upside/Downside vs current price</t>
        </is>
      </c>
      <c r="B12" s="2">
        <f>IFERROR(B9/Assumptions!B2-1,0)</f>
        <v/>
      </c>
    </row>
    <row r="13">
      <c r="A13" s="3" t="n"/>
      <c r="B13" s="2" t="n"/>
    </row>
    <row r="14">
      <c r="A14" s="2" t="inlineStr">
        <is>
          <t>Trạng thái</t>
        </is>
      </c>
      <c r="B14" s="2" t="inlineStr">
        <is>
          <t>Bản V3 đã tách forecast theo driver ngành + vi mô từng mảng. Cần cập nhật số lịch sử 2021-2025 và current price để ra output chính thức.</t>
        </is>
      </c>
    </row>
    <row r="15"/>
    <row r="16">
      <c r="A16" t="inlineStr">
        <is>
          <t>Data warning</t>
        </is>
      </c>
      <c r="B16" t="inlineStr">
        <is>
          <t>Target price hiện chỉ có ý nghĩa kịch bản/phương pháp. Không dùng như fair value cuối cho đến khi tie-out xong số lịch sử và segment 2025.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4" t="inlineStr">
        <is>
          <t>Input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  <c r="E1" s="4" t="inlineStr">
        <is>
          <t>Unit</t>
        </is>
      </c>
      <c r="F1" s="4" t="inlineStr">
        <is>
          <t>Ghi chú</t>
        </is>
      </c>
    </row>
    <row r="2">
      <c r="A2" s="2" t="inlineStr">
        <is>
          <t>Current MWG price</t>
        </is>
      </c>
      <c r="B2" s="5" t="n">
        <v>70000</v>
      </c>
      <c r="C2" s="6" t="n">
        <v>68000</v>
      </c>
      <c r="D2" s="7" t="n">
        <v>68000</v>
      </c>
      <c r="E2" s="2" t="inlineStr">
        <is>
          <t>VND</t>
        </is>
      </c>
      <c r="F2" s="2" t="inlineStr">
        <is>
          <t>Cập nhật giá thị trường hiện tại</t>
        </is>
      </c>
    </row>
    <row r="3">
      <c r="A3" s="2" t="inlineStr">
        <is>
          <t>Shares outstanding</t>
        </is>
      </c>
      <c r="B3" s="5" t="n">
        <v>1463</v>
      </c>
      <c r="C3" s="6" t="n">
        <v>1463</v>
      </c>
      <c r="D3" s="7" t="n">
        <v>1463</v>
      </c>
      <c r="E3" s="2" t="inlineStr">
        <is>
          <t>mn</t>
        </is>
      </c>
      <c r="F3" s="2" t="inlineStr">
        <is>
          <t>Cập nhật theo báo cáo mới nhất</t>
        </is>
      </c>
    </row>
    <row r="4">
      <c r="A4" s="2" t="inlineStr">
        <is>
          <t>Net debt 2025A</t>
        </is>
      </c>
      <c r="B4" s="5" t="n">
        <v>7000</v>
      </c>
      <c r="C4" s="6" t="n">
        <v>5000</v>
      </c>
      <c r="D4" s="7" t="n">
        <v>9000</v>
      </c>
      <c r="E4" s="2" t="inlineStr">
        <is>
          <t>VNDbn</t>
        </is>
      </c>
      <c r="F4" s="2" t="inlineStr">
        <is>
          <t>Debt - cash, cập nhật theo BCTC</t>
        </is>
      </c>
    </row>
    <row r="5">
      <c r="A5" s="2" t="inlineStr">
        <is>
          <t>Tax rate</t>
        </is>
      </c>
      <c r="B5" s="5" t="n">
        <v>0.2</v>
      </c>
      <c r="C5" s="6" t="n">
        <v>0.2</v>
      </c>
      <c r="D5" s="7" t="n">
        <v>0.2</v>
      </c>
      <c r="E5" s="2" t="inlineStr">
        <is>
          <t>%</t>
        </is>
      </c>
      <c r="F5" s="2" t="inlineStr">
        <is>
          <t>Thuế suất doanh nghiệp</t>
        </is>
      </c>
    </row>
    <row r="6">
      <c r="A6" s="2" t="inlineStr">
        <is>
          <t>WACC</t>
        </is>
      </c>
      <c r="B6" s="5" t="n">
        <v>0.105</v>
      </c>
      <c r="C6" s="6" t="n">
        <v>0.095</v>
      </c>
      <c r="D6" s="7" t="n">
        <v>0.115</v>
      </c>
      <c r="E6" s="2" t="inlineStr">
        <is>
          <t>%</t>
        </is>
      </c>
      <c r="F6" s="2" t="inlineStr">
        <is>
          <t>Chi phí vốn hợp nhất</t>
        </is>
      </c>
    </row>
    <row r="7">
      <c r="A7" s="2" t="inlineStr">
        <is>
          <t>Terminal growth</t>
        </is>
      </c>
      <c r="B7" s="5" t="n">
        <v>0.035</v>
      </c>
      <c r="C7" s="6" t="n">
        <v>0.04</v>
      </c>
      <c r="D7" s="7" t="n">
        <v>0.025</v>
      </c>
      <c r="E7" s="2" t="inlineStr">
        <is>
          <t>%</t>
        </is>
      </c>
      <c r="F7" s="2" t="inlineStr">
        <is>
          <t>Tăng trưởng dài hạn</t>
        </is>
      </c>
    </row>
    <row r="8">
      <c r="A8" s="2" t="inlineStr">
        <is>
          <t>TGDD steady EBIT margin</t>
        </is>
      </c>
      <c r="B8" s="5" t="n">
        <v>0.05</v>
      </c>
      <c r="C8" s="6" t="n">
        <v>0.053</v>
      </c>
      <c r="D8" s="7" t="n">
        <v>0.043</v>
      </c>
      <c r="E8" s="2" t="inlineStr">
        <is>
          <t>%</t>
        </is>
      </c>
      <c r="F8" s="2" t="inlineStr">
        <is>
          <t>Mảng mature, biên ổn định</t>
        </is>
      </c>
    </row>
    <row r="9">
      <c r="A9" s="2" t="inlineStr">
        <is>
          <t>DMX steady EBIT margin</t>
        </is>
      </c>
      <c r="B9" s="5" t="n">
        <v>0.06</v>
      </c>
      <c r="C9" s="6" t="n">
        <v>0.07000000000000001</v>
      </c>
      <c r="D9" s="7" t="n">
        <v>0.05</v>
      </c>
      <c r="E9" s="2" t="inlineStr">
        <is>
          <t>%</t>
        </is>
      </c>
      <c r="F9" s="2" t="inlineStr">
        <is>
          <t>Điện máy lớn hơn, operating leverage tốt hơn</t>
        </is>
      </c>
    </row>
    <row r="10">
      <c r="A10" s="2" t="inlineStr">
        <is>
          <t>BHX target EBIT margin</t>
        </is>
      </c>
      <c r="B10" s="5" t="n">
        <v>0.04</v>
      </c>
      <c r="C10" s="6" t="n">
        <v>0.055</v>
      </c>
      <c r="D10" s="7" t="n">
        <v>0.02</v>
      </c>
      <c r="E10" s="2" t="inlineStr">
        <is>
          <t>%</t>
        </is>
      </c>
      <c r="F10" s="2" t="inlineStr">
        <is>
          <t>Khi BHX đạt scale bền vững</t>
        </is>
      </c>
    </row>
    <row r="11">
      <c r="A11" s="2" t="inlineStr">
        <is>
          <t>Other segment EBIT margin</t>
        </is>
      </c>
      <c r="B11" s="5" t="n">
        <v>0.015</v>
      </c>
      <c r="C11" s="6" t="n">
        <v>0.03</v>
      </c>
      <c r="D11" s="7" t="n">
        <v>0</v>
      </c>
      <c r="E11" s="2" t="inlineStr">
        <is>
          <t>%</t>
        </is>
      </c>
      <c r="F11" s="2" t="inlineStr">
        <is>
          <t>An Khang/AVAKids/others</t>
        </is>
      </c>
    </row>
    <row r="12">
      <c r="A12" s="2" t="inlineStr">
        <is>
          <t>D&amp;A / Revenue</t>
        </is>
      </c>
      <c r="B12" s="5" t="n">
        <v>0.015</v>
      </c>
      <c r="C12" s="6" t="n">
        <v>0.014</v>
      </c>
      <c r="D12" s="7" t="n">
        <v>0.016</v>
      </c>
      <c r="E12" s="2" t="inlineStr">
        <is>
          <t>%</t>
        </is>
      </c>
      <c r="F12" s="2" t="inlineStr">
        <is>
          <t>Khấu hao tương đối ổn định</t>
        </is>
      </c>
    </row>
    <row r="13">
      <c r="A13" s="2" t="inlineStr">
        <is>
          <t>Capex / Revenue</t>
        </is>
      </c>
      <c r="B13" s="5" t="n">
        <v>0.018</v>
      </c>
      <c r="C13" s="6" t="n">
        <v>0.016</v>
      </c>
      <c r="D13" s="7" t="n">
        <v>0.022</v>
      </c>
      <c r="E13" s="2" t="inlineStr">
        <is>
          <t>%</t>
        </is>
      </c>
      <c r="F13" s="2" t="inlineStr">
        <is>
          <t>Capex duy trì + mở rộng</t>
        </is>
      </c>
    </row>
    <row r="14">
      <c r="A14" s="2" t="inlineStr">
        <is>
          <t>NWC / Revenue delta</t>
        </is>
      </c>
      <c r="B14" s="5" t="n">
        <v>0.08</v>
      </c>
      <c r="C14" s="6" t="n">
        <v>0.06</v>
      </c>
      <c r="D14" s="7" t="n">
        <v>0.1</v>
      </c>
      <c r="E14" s="2" t="inlineStr">
        <is>
          <t>%</t>
        </is>
      </c>
      <c r="F14" s="2" t="inlineStr">
        <is>
          <t>Nhu cầu vốn lưu động theo tăng trưởng</t>
        </is>
      </c>
    </row>
    <row r="15">
      <c r="A15" s="2" t="inlineStr">
        <is>
          <t>TGDD EV/Sales</t>
        </is>
      </c>
      <c r="B15" s="5" t="n">
        <v>0.35</v>
      </c>
      <c r="C15" s="6" t="n">
        <v>0.45</v>
      </c>
      <c r="D15" s="7" t="n">
        <v>0.25</v>
      </c>
      <c r="E15" s="2" t="inlineStr">
        <is>
          <t>x</t>
        </is>
      </c>
      <c r="F15" s="2" t="inlineStr">
        <is>
          <t>Mảng retail mature</t>
        </is>
      </c>
    </row>
    <row r="16">
      <c r="A16" s="2" t="inlineStr">
        <is>
          <t>DMX EV/Sales pre-IPO</t>
        </is>
      </c>
      <c r="B16" s="5" t="n">
        <v>0.5</v>
      </c>
      <c r="C16" s="6" t="n">
        <v>0.6</v>
      </c>
      <c r="D16" s="7" t="n">
        <v>0.35</v>
      </c>
      <c r="E16" s="2" t="inlineStr">
        <is>
          <t>x</t>
        </is>
      </c>
      <c r="F16" s="2" t="inlineStr">
        <is>
          <t>Điện máy before IPO rerating</t>
        </is>
      </c>
    </row>
    <row r="17">
      <c r="A17" s="2" t="inlineStr">
        <is>
          <t>BHX EV/Sales</t>
        </is>
      </c>
      <c r="B17" s="5" t="n">
        <v>0.65</v>
      </c>
      <c r="C17" s="6" t="n">
        <v>0.8</v>
      </c>
      <c r="D17" s="7" t="n">
        <v>0.35</v>
      </c>
      <c r="E17" s="2" t="inlineStr">
        <is>
          <t>x</t>
        </is>
      </c>
      <c r="F17" s="2" t="inlineStr">
        <is>
          <t>Modern grocery optionality</t>
        </is>
      </c>
    </row>
    <row r="18">
      <c r="A18" s="2" t="inlineStr">
        <is>
          <t>Other EV/Sales</t>
        </is>
      </c>
      <c r="B18" s="5" t="n">
        <v>0.2</v>
      </c>
      <c r="C18" s="6" t="n">
        <v>0.3</v>
      </c>
      <c r="D18" s="7" t="n">
        <v>0.1</v>
      </c>
      <c r="E18" s="2" t="inlineStr">
        <is>
          <t>x</t>
        </is>
      </c>
      <c r="F18" s="2" t="inlineStr">
        <is>
          <t>Other segments</t>
        </is>
      </c>
    </row>
    <row r="19">
      <c r="A19" s="2" t="inlineStr">
        <is>
          <t>ĐMX IPO post-money valuation</t>
        </is>
      </c>
      <c r="B19" s="5" t="n">
        <v>45000</v>
      </c>
      <c r="C19" s="6" t="n">
        <v>60000</v>
      </c>
      <c r="D19" s="7" t="n">
        <v>32000</v>
      </c>
      <c r="E19" s="2" t="inlineStr">
        <is>
          <t>VNDbn</t>
        </is>
      </c>
      <c r="F19" s="2" t="inlineStr">
        <is>
          <t>Giả định định giá ĐMX khi IPO</t>
        </is>
      </c>
    </row>
    <row r="20">
      <c r="A20" s="2" t="inlineStr">
        <is>
          <t>ĐMX IPO stake sold</t>
        </is>
      </c>
      <c r="B20" s="5" t="n">
        <v>0.2</v>
      </c>
      <c r="C20" s="6" t="n">
        <v>0.25</v>
      </c>
      <c r="D20" s="7" t="n">
        <v>0.15</v>
      </c>
      <c r="E20" s="2" t="inlineStr">
        <is>
          <t>%</t>
        </is>
      </c>
      <c r="F20" s="2" t="inlineStr">
        <is>
          <t>Tỷ lệ IPO/spin-off</t>
        </is>
      </c>
    </row>
    <row r="21">
      <c r="A21" s="2" t="inlineStr">
        <is>
          <t>BHX market share optionality premium</t>
        </is>
      </c>
      <c r="B21" s="5" t="n">
        <v>0.05</v>
      </c>
      <c r="C21" s="6" t="n">
        <v>0.1</v>
      </c>
      <c r="D21" s="7" t="n">
        <v>0</v>
      </c>
      <c r="E21" s="2" t="inlineStr">
        <is>
          <t>x</t>
        </is>
      </c>
      <c r="F21" s="2" t="inlineStr">
        <is>
          <t>Premium multiple khi BHX gain share mạnh</t>
        </is>
      </c>
    </row>
    <row r="22">
      <c r="A22" s="2" t="inlineStr">
        <is>
          <t>Risk discount to holdco</t>
        </is>
      </c>
      <c r="B22" s="5" t="n">
        <v>0.1</v>
      </c>
      <c r="C22" s="6" t="n">
        <v>0.05</v>
      </c>
      <c r="D22" s="7" t="n">
        <v>0.15</v>
      </c>
      <c r="E22" s="2" t="inlineStr">
        <is>
          <t>%</t>
        </is>
      </c>
      <c r="F22" s="2" t="inlineStr">
        <is>
          <t>Holding discount / execution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4" t="inlineStr">
        <is>
          <t>Macro factor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Why it matters</t>
        </is>
      </c>
    </row>
    <row r="2">
      <c r="A2" s="2" t="inlineStr">
        <is>
          <t>VN nominal retail sales growth</t>
        </is>
      </c>
      <c r="B2" s="5" t="n">
        <v>0.1</v>
      </c>
      <c r="C2" s="5" t="n">
        <v>0.09</v>
      </c>
      <c r="D2" s="5" t="n">
        <v>0.08</v>
      </c>
      <c r="E2" s="5" t="n">
        <v>0.07000000000000001</v>
      </c>
      <c r="F2" s="5" t="n">
        <v>0.07000000000000001</v>
      </c>
      <c r="G2" s="2" t="inlineStr">
        <is>
          <t>Anchor cho tổng cầu retail</t>
        </is>
      </c>
    </row>
    <row r="3">
      <c r="A3" s="2" t="inlineStr">
        <is>
          <t>Disposable income growth</t>
        </is>
      </c>
      <c r="B3" s="5" t="n">
        <v>0.08</v>
      </c>
      <c r="C3" s="5" t="n">
        <v>0.08</v>
      </c>
      <c r="D3" s="5" t="n">
        <v>0.07000000000000001</v>
      </c>
      <c r="E3" s="5" t="n">
        <v>0.06</v>
      </c>
      <c r="F3" s="5" t="n">
        <v>0.06</v>
      </c>
      <c r="G3" s="2" t="inlineStr">
        <is>
          <t>Ảnh hưởng cầu điện thoại/điện máy</t>
        </is>
      </c>
    </row>
    <row r="4">
      <c r="A4" s="2" t="inlineStr">
        <is>
          <t>Consumer confidence index proxy</t>
        </is>
      </c>
      <c r="B4" s="5" t="n">
        <v>0.04</v>
      </c>
      <c r="C4" s="5" t="n">
        <v>0.04</v>
      </c>
      <c r="D4" s="5" t="n">
        <v>0.03</v>
      </c>
      <c r="E4" s="5" t="n">
        <v>0.03</v>
      </c>
      <c r="F4" s="5" t="n">
        <v>0.02</v>
      </c>
      <c r="G4" s="2" t="inlineStr">
        <is>
          <t>Ảnh hưởng goods ticket lớn</t>
        </is>
      </c>
    </row>
    <row r="5">
      <c r="A5" s="2" t="inlineStr">
        <is>
          <t>Consumer finance / installment growth</t>
        </is>
      </c>
      <c r="B5" s="5" t="n">
        <v>0.09</v>
      </c>
      <c r="C5" s="5" t="n">
        <v>0.08</v>
      </c>
      <c r="D5" s="5" t="n">
        <v>0.07000000000000001</v>
      </c>
      <c r="E5" s="5" t="n">
        <v>0.06</v>
      </c>
      <c r="F5" s="5" t="n">
        <v>0.06</v>
      </c>
      <c r="G5" s="2" t="inlineStr">
        <is>
          <t>Hỗ trợ TGDD/ĐMX trả góp</t>
        </is>
      </c>
    </row>
    <row r="6">
      <c r="A6" s="2" t="inlineStr">
        <is>
          <t>Food retail modern trade growth</t>
        </is>
      </c>
      <c r="B6" s="5" t="n">
        <v>0.14</v>
      </c>
      <c r="C6" s="5" t="n">
        <v>0.13</v>
      </c>
      <c r="D6" s="5" t="n">
        <v>0.12</v>
      </c>
      <c r="E6" s="5" t="n">
        <v>0.11</v>
      </c>
      <c r="F6" s="5" t="n">
        <v>0.1</v>
      </c>
      <c r="G6" s="2" t="inlineStr">
        <is>
          <t>Anchor cho BHX</t>
        </is>
      </c>
    </row>
    <row r="7">
      <c r="A7" s="2" t="inlineStr">
        <is>
          <t>Food CPI / pricing pass-through</t>
        </is>
      </c>
      <c r="B7" s="5" t="n">
        <v>0.04</v>
      </c>
      <c r="C7" s="5" t="n">
        <v>0.04</v>
      </c>
      <c r="D7" s="5" t="n">
        <v>0.035</v>
      </c>
      <c r="E7" s="5" t="n">
        <v>0.03</v>
      </c>
      <c r="F7" s="5" t="n">
        <v>0.03</v>
      </c>
      <c r="G7" s="2" t="inlineStr">
        <is>
          <t>Tác động doanh thu danh nghĩa BHX</t>
        </is>
      </c>
    </row>
    <row r="8">
      <c r="A8" s="2" t="inlineStr">
        <is>
          <t>USD/VND pressure</t>
        </is>
      </c>
      <c r="B8" s="5" t="n">
        <v>0.02</v>
      </c>
      <c r="C8" s="5" t="n">
        <v>0.02</v>
      </c>
      <c r="D8" s="5" t="n">
        <v>0.02</v>
      </c>
      <c r="E8" s="5" t="n">
        <v>0.02</v>
      </c>
      <c r="F8" s="5" t="n">
        <v>0.02</v>
      </c>
      <c r="G8" s="2" t="inlineStr">
        <is>
          <t>Ảnh hưởng hàng nhập khẩu 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4" t="inlineStr">
        <is>
          <t>VNDbn</t>
        </is>
      </c>
      <c r="B3" s="4" t="inlineStr">
        <is>
          <t>2021A</t>
        </is>
      </c>
      <c r="C3" s="4" t="inlineStr">
        <is>
          <t>2022A</t>
        </is>
      </c>
      <c r="D3" s="4" t="inlineStr">
        <is>
          <t>2023A</t>
        </is>
      </c>
      <c r="E3" s="4" t="inlineStr">
        <is>
          <t>2024A</t>
        </is>
      </c>
      <c r="F3" s="4" t="inlineStr">
        <is>
          <t>2025A</t>
        </is>
      </c>
      <c r="G3" s="4" t="inlineStr">
        <is>
          <t>Source/Note</t>
        </is>
      </c>
    </row>
    <row r="4">
      <c r="A4" s="2" t="inlineStr">
        <is>
          <t>Revenue</t>
        </is>
      </c>
      <c r="B4" s="2" t="n">
        <v>122958</v>
      </c>
      <c r="C4" s="2" t="n">
        <v>133405</v>
      </c>
      <c r="D4" s="2" t="n">
        <v>118280</v>
      </c>
      <c r="E4" s="2" t="n">
        <v>134341</v>
      </c>
      <c r="F4" s="2" t="n">
        <v>150000</v>
      </c>
      <c r="G4" s="2" t="inlineStr">
        <is>
          <t>Estimate placeholder; tie to CafeF/MWG audited 2025</t>
        </is>
      </c>
    </row>
    <row r="5">
      <c r="A5" s="2" t="inlineStr">
        <is>
          <t>Gross profit</t>
        </is>
      </c>
      <c r="B5" s="2" t="n">
        <v>26757</v>
      </c>
      <c r="C5" s="2" t="n">
        <v>28800</v>
      </c>
      <c r="D5" s="2" t="n">
        <v>23600</v>
      </c>
      <c r="E5" s="2" t="n">
        <v>28800</v>
      </c>
      <c r="F5" s="2" t="n">
        <v>33000</v>
      </c>
      <c r="G5" s="2" t="inlineStr">
        <is>
          <t>Estimate placeholder</t>
        </is>
      </c>
    </row>
    <row r="6">
      <c r="A6" s="2" t="inlineStr">
        <is>
          <t>EBIT</t>
        </is>
      </c>
      <c r="B6" s="2" t="n">
        <v>6600</v>
      </c>
      <c r="C6" s="2" t="n">
        <v>6200</v>
      </c>
      <c r="D6" s="2" t="n">
        <v>1600</v>
      </c>
      <c r="E6" s="2" t="n">
        <v>4700</v>
      </c>
      <c r="F6" s="2" t="n">
        <v>6200</v>
      </c>
      <c r="G6" s="2" t="inlineStr">
        <is>
          <t>Estimate placeholder</t>
        </is>
      </c>
    </row>
    <row r="7">
      <c r="A7" s="2" t="inlineStr">
        <is>
          <t>NPAT</t>
        </is>
      </c>
      <c r="B7" s="2" t="n">
        <v>4900</v>
      </c>
      <c r="C7" s="2" t="n">
        <v>4100</v>
      </c>
      <c r="D7" s="2" t="n">
        <v>168</v>
      </c>
      <c r="E7" s="2" t="n">
        <v>3600</v>
      </c>
      <c r="F7" s="2" t="n">
        <v>4700</v>
      </c>
      <c r="G7" s="2" t="inlineStr">
        <is>
          <t>Estimate placeholder</t>
        </is>
      </c>
    </row>
    <row r="8">
      <c r="A8" s="2" t="inlineStr">
        <is>
          <t>Operating CF</t>
        </is>
      </c>
      <c r="B8" s="2" t="n">
        <v>8500</v>
      </c>
      <c r="C8" s="2" t="n">
        <v>9000</v>
      </c>
      <c r="D8" s="2" t="n">
        <v>6500</v>
      </c>
      <c r="E8" s="2" t="n">
        <v>8000</v>
      </c>
      <c r="F8" s="2" t="n">
        <v>9800</v>
      </c>
      <c r="G8" s="2" t="inlineStr">
        <is>
          <t>Estimate placeholder</t>
        </is>
      </c>
    </row>
    <row r="9">
      <c r="A9" s="2" t="inlineStr">
        <is>
          <t>Capex</t>
        </is>
      </c>
      <c r="B9" s="2" t="n">
        <v>2200</v>
      </c>
      <c r="C9" s="2" t="n">
        <v>2500</v>
      </c>
      <c r="D9" s="2" t="n">
        <v>1800</v>
      </c>
      <c r="E9" s="2" t="n">
        <v>2200</v>
      </c>
      <c r="F9" s="2" t="n">
        <v>2600</v>
      </c>
      <c r="G9" s="2" t="inlineStr">
        <is>
          <t>Estimate placeholder</t>
        </is>
      </c>
    </row>
    <row r="10">
      <c r="A10" s="2" t="inlineStr">
        <is>
          <t>Cash</t>
        </is>
      </c>
      <c r="B10" s="2" t="n">
        <v>14500</v>
      </c>
      <c r="C10" s="2" t="n">
        <v>13000</v>
      </c>
      <c r="D10" s="2" t="n">
        <v>12000</v>
      </c>
      <c r="E10" s="2" t="n">
        <v>15000</v>
      </c>
      <c r="F10" s="2" t="n">
        <v>17000</v>
      </c>
      <c r="G10" s="2" t="inlineStr">
        <is>
          <t>Estimate placeholder</t>
        </is>
      </c>
    </row>
    <row r="11">
      <c r="A11" s="2" t="inlineStr">
        <is>
          <t>Debt</t>
        </is>
      </c>
      <c r="B11" s="2" t="n">
        <v>21500</v>
      </c>
      <c r="C11" s="2" t="n">
        <v>19500</v>
      </c>
      <c r="D11" s="2" t="n">
        <v>20000</v>
      </c>
      <c r="E11" s="2" t="n">
        <v>21000</v>
      </c>
      <c r="F11" s="2" t="n">
        <v>24000</v>
      </c>
      <c r="G11" s="2" t="inlineStr">
        <is>
          <t>Estimate placeholder</t>
        </is>
      </c>
    </row>
    <row r="12">
      <c r="A12" s="2" t="inlineStr">
        <is>
          <t>Net debt</t>
        </is>
      </c>
      <c r="B12" s="2" t="n">
        <v>7000</v>
      </c>
      <c r="C12" s="2" t="n">
        <v>6500</v>
      </c>
      <c r="D12" s="2" t="n">
        <v>8000</v>
      </c>
      <c r="E12" s="2" t="n">
        <v>6000</v>
      </c>
      <c r="F12" s="2" t="n">
        <v>7000</v>
      </c>
      <c r="G12" s="2" t="inlineStr">
        <is>
          <t>Estimate placeholder</t>
        </is>
      </c>
    </row>
    <row r="13">
      <c r="A13" s="2" t="inlineStr">
        <is>
          <t>Total assets</t>
        </is>
      </c>
      <c r="B13" s="2" t="n">
        <v>59000</v>
      </c>
      <c r="C13" s="2" t="n">
        <v>62000</v>
      </c>
      <c r="D13" s="2" t="n">
        <v>60000</v>
      </c>
      <c r="E13" s="2" t="n">
        <v>65000</v>
      </c>
      <c r="F13" s="2" t="n">
        <v>72000</v>
      </c>
      <c r="G13" s="2" t="inlineStr">
        <is>
          <t>Estimate placeholder</t>
        </is>
      </c>
    </row>
    <row r="14">
      <c r="A14" s="2" t="inlineStr">
        <is>
          <t>Equity</t>
        </is>
      </c>
      <c r="B14" s="2" t="n">
        <v>22000</v>
      </c>
      <c r="C14" s="2" t="n">
        <v>25000</v>
      </c>
      <c r="D14" s="2" t="n">
        <v>24500</v>
      </c>
      <c r="E14" s="2" t="n">
        <v>27500</v>
      </c>
      <c r="F14" s="2" t="n">
        <v>32000</v>
      </c>
      <c r="G14" s="2" t="inlineStr">
        <is>
          <t>Estimate placeholder</t>
        </is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Ghi chú</t>
        </is>
      </c>
      <c r="B16" s="2" t="inlineStr">
        <is>
          <t>Điền số lịch sử 2021-2025 theo BCTC kiểm toán/hợp nhất MWG. Model forecast dùng 2025A làm base year.</t>
        </is>
      </c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4" t="inlineStr">
        <is>
          <t>Metric</t>
        </is>
      </c>
      <c r="B3" s="4" t="inlineStr">
        <is>
          <t>2021A</t>
        </is>
      </c>
      <c r="C3" s="4" t="inlineStr">
        <is>
          <t>2022A</t>
        </is>
      </c>
      <c r="D3" s="4" t="inlineStr">
        <is>
          <t>2023A</t>
        </is>
      </c>
      <c r="E3" s="4" t="inlineStr">
        <is>
          <t>2024A</t>
        </is>
      </c>
      <c r="F3" s="4" t="inlineStr">
        <is>
          <t>2025A</t>
        </is>
      </c>
      <c r="G3" s="4" t="inlineStr">
        <is>
          <t>Source/Note</t>
        </is>
      </c>
    </row>
    <row r="4">
      <c r="A4" s="2" t="inlineStr">
        <is>
          <t>TGDD revenue</t>
        </is>
      </c>
      <c r="B4" s="2" t="n">
        <v>26000</v>
      </c>
      <c r="C4" s="2" t="n">
        <v>26500</v>
      </c>
      <c r="D4" s="2" t="n">
        <v>24000</v>
      </c>
      <c r="E4" s="2" t="n">
        <v>25000</v>
      </c>
      <c r="F4" s="2" t="n">
        <v>25000</v>
      </c>
      <c r="G4" s="2" t="inlineStr">
        <is>
          <t>Estimate; replace with official MWG segment disclosure</t>
        </is>
      </c>
    </row>
    <row r="5">
      <c r="A5" s="2" t="inlineStr">
        <is>
          <t>TGDD store count</t>
        </is>
      </c>
      <c r="B5" s="2" t="n">
        <v>900</v>
      </c>
      <c r="C5" s="2" t="n">
        <v>880</v>
      </c>
      <c r="D5" s="2" t="n">
        <v>850</v>
      </c>
      <c r="E5" s="2" t="n">
        <v>820</v>
      </c>
      <c r="F5" s="2" t="n">
        <v>800</v>
      </c>
      <c r="G5" s="2" t="inlineStr">
        <is>
          <t>Estimate store optimization</t>
        </is>
      </c>
    </row>
    <row r="6">
      <c r="A6" s="2" t="inlineStr">
        <is>
          <t>TGDD revenue/store</t>
        </is>
      </c>
      <c r="B6" s="2">
        <f>B2/B3</f>
        <v/>
      </c>
      <c r="C6" s="2">
        <f>C2/C3</f>
        <v/>
      </c>
      <c r="D6" s="2">
        <f>D2/D3</f>
        <v/>
      </c>
      <c r="E6" s="2">
        <f>E2/E3</f>
        <v/>
      </c>
      <c r="F6" s="2">
        <f>F2/F3</f>
        <v/>
      </c>
      <c r="G6" s="2" t="inlineStr">
        <is>
          <t>Formula</t>
        </is>
      </c>
    </row>
    <row r="7">
      <c r="A7" s="2" t="inlineStr">
        <is>
          <t>DMX revenue</t>
        </is>
      </c>
      <c r="B7" s="2" t="n">
        <v>54000</v>
      </c>
      <c r="C7" s="2" t="n">
        <v>60000</v>
      </c>
      <c r="D7" s="2" t="n">
        <v>52000</v>
      </c>
      <c r="E7" s="2" t="n">
        <v>60000</v>
      </c>
      <c r="F7" s="2" t="n">
        <v>65000</v>
      </c>
      <c r="G7" s="2" t="inlineStr">
        <is>
          <t>Estimate; ĐMX leading revenue contributor</t>
        </is>
      </c>
    </row>
    <row r="8">
      <c r="A8" s="2" t="inlineStr">
        <is>
          <t>DMX store count</t>
        </is>
      </c>
      <c r="B8" s="2" t="n">
        <v>1900</v>
      </c>
      <c r="C8" s="2" t="n">
        <v>2000</v>
      </c>
      <c r="D8" s="2" t="n">
        <v>2050</v>
      </c>
      <c r="E8" s="2" t="n">
        <v>2100</v>
      </c>
      <c r="F8" s="2" t="n">
        <v>2100</v>
      </c>
      <c r="G8" s="2" t="inlineStr">
        <is>
          <t>Estimate</t>
        </is>
      </c>
    </row>
    <row r="9">
      <c r="A9" s="2" t="inlineStr">
        <is>
          <t>DMX revenue/store</t>
        </is>
      </c>
      <c r="B9" s="2">
        <f>B5/B6</f>
        <v/>
      </c>
      <c r="C9" s="2">
        <f>C5/C6</f>
        <v/>
      </c>
      <c r="D9" s="2">
        <f>D5/D6</f>
        <v/>
      </c>
      <c r="E9" s="2">
        <f>E5/E6</f>
        <v/>
      </c>
      <c r="F9" s="2">
        <f>F5/F6</f>
        <v/>
      </c>
      <c r="G9" s="2" t="inlineStr">
        <is>
          <t>Formula</t>
        </is>
      </c>
    </row>
    <row r="10">
      <c r="A10" s="2" t="inlineStr">
        <is>
          <t>DMX market share</t>
        </is>
      </c>
      <c r="B10" s="2" t="n">
        <v>0.5</v>
      </c>
      <c r="C10" s="2" t="n">
        <v>0.51</v>
      </c>
      <c r="D10" s="2" t="n">
        <v>0.5</v>
      </c>
      <c r="E10" s="2" t="n">
        <v>0.52</v>
      </c>
      <c r="F10" s="2" t="n">
        <v>0.53</v>
      </c>
      <c r="G10" s="2" t="inlineStr">
        <is>
          <t>Estimate market share</t>
        </is>
      </c>
    </row>
    <row r="11">
      <c r="A11" s="2" t="inlineStr">
        <is>
          <t>BHX revenue</t>
        </is>
      </c>
      <c r="B11" s="2" t="n">
        <v>28000</v>
      </c>
      <c r="C11" s="2" t="n">
        <v>30000</v>
      </c>
      <c r="D11" s="2" t="n">
        <v>31500</v>
      </c>
      <c r="E11" s="2" t="n">
        <v>40000</v>
      </c>
      <c r="F11" s="2" t="n">
        <v>45000</v>
      </c>
      <c r="G11" s="2" t="inlineStr">
        <is>
          <t>Estimate; BHX growth but not overstate</t>
        </is>
      </c>
    </row>
    <row r="12">
      <c r="A12" s="2" t="inlineStr">
        <is>
          <t>BHX store count</t>
        </is>
      </c>
      <c r="B12" s="2" t="n">
        <v>2100</v>
      </c>
      <c r="C12" s="2" t="n">
        <v>1800</v>
      </c>
      <c r="D12" s="2" t="n">
        <v>1700</v>
      </c>
      <c r="E12" s="2" t="n">
        <v>1750</v>
      </c>
      <c r="F12" s="2" t="n">
        <v>1900</v>
      </c>
      <c r="G12" s="2" t="inlineStr">
        <is>
          <t>Estimate</t>
        </is>
      </c>
    </row>
    <row r="13">
      <c r="A13" s="2" t="inlineStr">
        <is>
          <t>BHX revenue/store</t>
        </is>
      </c>
      <c r="B13" s="2">
        <f>B9/B10</f>
        <v/>
      </c>
      <c r="C13" s="2">
        <f>C9/C10</f>
        <v/>
      </c>
      <c r="D13" s="2">
        <f>D9/D10</f>
        <v/>
      </c>
      <c r="E13" s="2">
        <f>E9/E10</f>
        <v/>
      </c>
      <c r="F13" s="2">
        <f>F9/F10</f>
        <v/>
      </c>
      <c r="G13" s="2" t="inlineStr">
        <is>
          <t>Formula</t>
        </is>
      </c>
    </row>
    <row r="14">
      <c r="A14" s="2" t="inlineStr">
        <is>
          <t>BHX EBIT margin</t>
        </is>
      </c>
      <c r="B14" s="2" t="n">
        <v>-0.06</v>
      </c>
      <c r="C14" s="2" t="n">
        <v>-0.04</v>
      </c>
      <c r="D14" s="2" t="n">
        <v>-0.01</v>
      </c>
      <c r="E14" s="2" t="n">
        <v>0.01</v>
      </c>
      <c r="F14" s="2" t="n">
        <v>0.02</v>
      </c>
      <c r="G14" s="2" t="inlineStr">
        <is>
          <t>Estimate EBIT margin path</t>
        </is>
      </c>
    </row>
    <row r="15">
      <c r="A15" s="2" t="inlineStr">
        <is>
          <t>BHX market share</t>
        </is>
      </c>
      <c r="B15" s="2" t="n">
        <v>0.01</v>
      </c>
      <c r="C15" s="2" t="n">
        <v>0.012</v>
      </c>
      <c r="D15" s="2" t="n">
        <v>0.014</v>
      </c>
      <c r="E15" s="2" t="n">
        <v>0.018</v>
      </c>
      <c r="F15" s="2" t="n">
        <v>0.021</v>
      </c>
      <c r="G15" s="2" t="inlineStr">
        <is>
          <t>Estimate BHX market share</t>
        </is>
      </c>
    </row>
    <row r="16">
      <c r="A16" s="2" t="inlineStr">
        <is>
          <t>Other revenue</t>
        </is>
      </c>
      <c r="B16" s="2" t="n">
        <v>14958</v>
      </c>
      <c r="C16" s="2" t="n">
        <v>16905</v>
      </c>
      <c r="D16" s="2" t="n">
        <v>10780</v>
      </c>
      <c r="E16" s="2" t="n">
        <v>9341</v>
      </c>
      <c r="F16" s="2" t="n">
        <v>15000</v>
      </c>
      <c r="G16" s="2" t="inlineStr">
        <is>
          <t>Residual = consolidated revenue - core segments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4" t="inlineStr">
        <is>
          <t>Micro driver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Liên hệ với segment</t>
        </is>
      </c>
    </row>
    <row r="2">
      <c r="A2" s="2" t="inlineStr">
        <is>
          <t>TGDD same-store sales growth</t>
        </is>
      </c>
      <c r="B2" s="5" t="n">
        <v>0.04</v>
      </c>
      <c r="C2" s="5" t="n">
        <v>0.04</v>
      </c>
      <c r="D2" s="5" t="n">
        <v>0.03</v>
      </c>
      <c r="E2" s="5" t="n">
        <v>0.03</v>
      </c>
      <c r="F2" s="5" t="n">
        <v>0.02</v>
      </c>
      <c r="G2" s="2" t="inlineStr">
        <is>
          <t>TGDD</t>
        </is>
      </c>
    </row>
    <row r="3">
      <c r="A3" s="2" t="inlineStr">
        <is>
          <t>TGDD store optimization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2" t="inlineStr">
        <is>
          <t>TGDD</t>
        </is>
      </c>
    </row>
    <row r="4">
      <c r="A4" s="2" t="inlineStr">
        <is>
          <t>DMX same-store sales growth</t>
        </is>
      </c>
      <c r="B4" s="5" t="n">
        <v>0.06</v>
      </c>
      <c r="C4" s="5" t="n">
        <v>0.05</v>
      </c>
      <c r="D4" s="5" t="n">
        <v>0.04</v>
      </c>
      <c r="E4" s="5" t="n">
        <v>0.04</v>
      </c>
      <c r="F4" s="5" t="n">
        <v>0.03</v>
      </c>
      <c r="G4" s="2" t="inlineStr">
        <is>
          <t>ĐMX</t>
        </is>
      </c>
    </row>
    <row r="5">
      <c r="A5" s="2" t="inlineStr">
        <is>
          <t>DMX market share gain (ppt)</t>
        </is>
      </c>
      <c r="B5" s="5" t="n">
        <v>0.005</v>
      </c>
      <c r="C5" s="5" t="n">
        <v>0.004</v>
      </c>
      <c r="D5" s="5" t="n">
        <v>0.003</v>
      </c>
      <c r="E5" s="5" t="n">
        <v>0.002</v>
      </c>
      <c r="F5" s="5" t="n">
        <v>0.001</v>
      </c>
      <c r="G5" s="2" t="inlineStr">
        <is>
          <t>ĐMX</t>
        </is>
      </c>
    </row>
    <row r="6">
      <c r="A6" s="2" t="inlineStr">
        <is>
          <t>BHX new stores</t>
        </is>
      </c>
      <c r="B6" s="5" t="n">
        <v>250</v>
      </c>
      <c r="C6" s="5" t="n">
        <v>220</v>
      </c>
      <c r="D6" s="5" t="n">
        <v>200</v>
      </c>
      <c r="E6" s="5" t="n">
        <v>180</v>
      </c>
      <c r="F6" s="5" t="n">
        <v>150</v>
      </c>
      <c r="G6" s="2" t="inlineStr">
        <is>
          <t>BHX</t>
        </is>
      </c>
    </row>
    <row r="7">
      <c r="A7" s="2" t="inlineStr">
        <is>
          <t>BHX same-store sales growth</t>
        </is>
      </c>
      <c r="B7" s="5" t="n">
        <v>0.08</v>
      </c>
      <c r="C7" s="5" t="n">
        <v>0.07000000000000001</v>
      </c>
      <c r="D7" s="5" t="n">
        <v>0.06</v>
      </c>
      <c r="E7" s="5" t="n">
        <v>0.05</v>
      </c>
      <c r="F7" s="5" t="n">
        <v>0.04</v>
      </c>
      <c r="G7" s="2" t="inlineStr">
        <is>
          <t>BHX</t>
        </is>
      </c>
    </row>
    <row r="8">
      <c r="A8" s="2" t="inlineStr">
        <is>
          <t>BHX shrinkage improvement (ppt)</t>
        </is>
      </c>
      <c r="B8" s="5" t="n">
        <v>0.003</v>
      </c>
      <c r="C8" s="5" t="n">
        <v>0.002</v>
      </c>
      <c r="D8" s="5" t="n">
        <v>0.002</v>
      </c>
      <c r="E8" s="5" t="n">
        <v>0.001</v>
      </c>
      <c r="F8" s="5" t="n">
        <v>0.001</v>
      </c>
      <c r="G8" s="2" t="inlineStr">
        <is>
          <t>BHX</t>
        </is>
      </c>
    </row>
    <row r="9">
      <c r="A9" s="2" t="inlineStr">
        <is>
          <t>BHX logistics efficiency uplift (ppt margin)</t>
        </is>
      </c>
      <c r="B9" s="5" t="n">
        <v>0.002</v>
      </c>
      <c r="C9" s="5" t="n">
        <v>0.002</v>
      </c>
      <c r="D9" s="5" t="n">
        <v>0.001</v>
      </c>
      <c r="E9" s="5" t="n">
        <v>0.001</v>
      </c>
      <c r="F9" s="5" t="n">
        <v>0.001</v>
      </c>
      <c r="G9" s="2" t="inlineStr">
        <is>
          <t>BHX</t>
        </is>
      </c>
    </row>
    <row r="10">
      <c r="A10" s="2" t="inlineStr">
        <is>
          <t>Other segment growth</t>
        </is>
      </c>
      <c r="B10" s="5" t="n">
        <v>0.1</v>
      </c>
      <c r="C10" s="5" t="n">
        <v>0.08</v>
      </c>
      <c r="D10" s="5" t="n">
        <v>0.06</v>
      </c>
      <c r="E10" s="5" t="n">
        <v>0.05</v>
      </c>
      <c r="F10" s="5" t="n">
        <v>0.05</v>
      </c>
      <c r="G10" s="2" t="inlineStr">
        <is>
          <t>Others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4" t="inlineStr">
        <is>
          <t>Line</t>
        </is>
      </c>
      <c r="B3" s="4" t="inlineStr">
        <is>
          <t>2025A</t>
        </is>
      </c>
      <c r="C3" s="4" t="inlineStr">
        <is>
          <t>2026E</t>
        </is>
      </c>
      <c r="D3" s="4" t="inlineStr">
        <is>
          <t>2027E</t>
        </is>
      </c>
      <c r="E3" s="4" t="inlineStr">
        <is>
          <t>2028E</t>
        </is>
      </c>
      <c r="F3" s="4" t="inlineStr">
        <is>
          <t>2029E</t>
        </is>
      </c>
      <c r="G3" s="4" t="inlineStr">
        <is>
          <t>2030E</t>
        </is>
      </c>
      <c r="H3" s="4" t="inlineStr">
        <is>
          <t>Logic</t>
        </is>
      </c>
    </row>
    <row r="4">
      <c r="A4" s="2" t="inlineStr">
        <is>
          <t>Store count</t>
        </is>
      </c>
      <c r="B4" s="2">
        <f>Segment_Historical!F3</f>
        <v/>
      </c>
      <c r="C4" s="2">
        <f>B2*(1+Micro_Drivers!C3)</f>
        <v/>
      </c>
      <c r="D4" s="2">
        <f>C2*(1+Micro_Drivers!D3)</f>
        <v/>
      </c>
      <c r="E4" s="2">
        <f>D2*(1+Micro_Drivers!E3)</f>
        <v/>
      </c>
      <c r="F4" s="2">
        <f>E2*(1+Micro_Drivers!F3)</f>
        <v/>
      </c>
      <c r="G4" s="2">
        <f>F2*(1+Micro_Drivers!G3)</f>
        <v/>
      </c>
      <c r="H4" s="2" t="inlineStr">
        <is>
          <t>TGDD phụ thuộc chu kỳ thay máy, thu nhập khả dụng, consumer finance và mức saturation của smartphone market.</t>
        </is>
      </c>
    </row>
    <row r="5">
      <c r="A5" s="2" t="inlineStr">
        <is>
          <t>Revenue/store</t>
        </is>
      </c>
      <c r="B5" s="2">
        <f>Segment_Historical!F4</f>
        <v/>
      </c>
      <c r="C5" s="2">
        <f>B3*(1+Macro_Drivers!C3+Micro_Drivers!C2)</f>
        <v/>
      </c>
      <c r="D5" s="2">
        <f>C3*(1+Macro_Drivers!D3+Micro_Drivers!D2)</f>
        <v/>
      </c>
      <c r="E5" s="2">
        <f>D3*(1+Macro_Drivers!E3+Micro_Drivers!E2)</f>
        <v/>
      </c>
      <c r="F5" s="2">
        <f>E3*(1+Macro_Drivers!F3+Micro_Drivers!F2)</f>
        <v/>
      </c>
      <c r="G5" s="2">
        <f>F3*(1+Macro_Drivers!G3+Micro_Drivers!G2)</f>
        <v/>
      </c>
      <c r="H5" s="2" t="inlineStr">
        <is>
          <t>Store count chủ yếu tối ưu, không mở rộng lớn như trước.</t>
        </is>
      </c>
    </row>
    <row r="6">
      <c r="A6" s="2" t="inlineStr">
        <is>
          <t>Revenue</t>
        </is>
      </c>
      <c r="B6" s="2">
        <f>Segment_Historical!F2</f>
        <v/>
      </c>
      <c r="C6" s="2">
        <f>C2*C3</f>
        <v/>
      </c>
      <c r="D6" s="2">
        <f>D2*D3</f>
        <v/>
      </c>
      <c r="E6" s="2">
        <f>E2*E3</f>
        <v/>
      </c>
      <c r="F6" s="2">
        <f>F2*F3</f>
        <v/>
      </c>
      <c r="G6" s="2">
        <f>G2*G3</f>
        <v/>
      </c>
      <c r="H6" s="2" t="n"/>
    </row>
    <row r="7">
      <c r="A7" s="2" t="inlineStr">
        <is>
          <t>Growth</t>
        </is>
      </c>
      <c r="B7" s="2" t="n"/>
      <c r="C7" s="2">
        <f>IFERROR(C4/B4-1,0)</f>
        <v/>
      </c>
      <c r="D7" s="2">
        <f>IFERROR(D4/C4-1,0)</f>
        <v/>
      </c>
      <c r="E7" s="2">
        <f>IFERROR(E4/D4-1,0)</f>
        <v/>
      </c>
      <c r="F7" s="2">
        <f>IFERROR(F4/E4-1,0)</f>
        <v/>
      </c>
      <c r="G7" s="2">
        <f>IFERROR(G4/F4-1,0)</f>
        <v/>
      </c>
      <c r="H7" s="2" t="n"/>
    </row>
    <row r="8">
      <c r="A8" s="2" t="inlineStr">
        <is>
          <t>EBIT margin</t>
        </is>
      </c>
      <c r="B8" s="2">
        <f>Assumptions!B8</f>
        <v/>
      </c>
      <c r="C8" s="2">
        <f>Assumptions!B8</f>
        <v/>
      </c>
      <c r="D8" s="2">
        <f>Assumptions!B8</f>
        <v/>
      </c>
      <c r="E8" s="2">
        <f>Assumptions!B8</f>
        <v/>
      </c>
      <c r="F8" s="2">
        <f>Assumptions!B8</f>
        <v/>
      </c>
      <c r="G8" s="2">
        <f>Assumptions!B8</f>
        <v/>
      </c>
      <c r="H8" s="2" t="n"/>
    </row>
    <row r="9">
      <c r="A9" s="2" t="inlineStr">
        <is>
          <t>EBIT</t>
        </is>
      </c>
      <c r="B9" s="2">
        <f>B4*B6</f>
        <v/>
      </c>
      <c r="C9" s="2">
        <f>C4*C6</f>
        <v/>
      </c>
      <c r="D9" s="2">
        <f>D4*D6</f>
        <v/>
      </c>
      <c r="E9" s="2">
        <f>E4*E6</f>
        <v/>
      </c>
      <c r="F9" s="2">
        <f>F4*F6</f>
        <v/>
      </c>
      <c r="G9" s="2">
        <f>G4*G6</f>
        <v/>
      </c>
      <c r="H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4" t="inlineStr">
        <is>
          <t>Line</t>
        </is>
      </c>
      <c r="B3" s="4" t="inlineStr">
        <is>
          <t>2025A</t>
        </is>
      </c>
      <c r="C3" s="4" t="inlineStr">
        <is>
          <t>2026E</t>
        </is>
      </c>
      <c r="D3" s="4" t="inlineStr">
        <is>
          <t>2027E</t>
        </is>
      </c>
      <c r="E3" s="4" t="inlineStr">
        <is>
          <t>2028E</t>
        </is>
      </c>
      <c r="F3" s="4" t="inlineStr">
        <is>
          <t>2029E</t>
        </is>
      </c>
      <c r="G3" s="4" t="inlineStr">
        <is>
          <t>2030E</t>
        </is>
      </c>
      <c r="H3" s="4" t="inlineStr">
        <is>
          <t>Logic</t>
        </is>
      </c>
    </row>
    <row r="4">
      <c r="A4" s="2" t="inlineStr">
        <is>
          <t>Store count</t>
        </is>
      </c>
      <c r="B4" s="2">
        <f>Segment_Historical!F6</f>
        <v/>
      </c>
      <c r="C4" s="2">
        <f>B2</f>
        <v/>
      </c>
      <c r="D4" s="2">
        <f>C2</f>
        <v/>
      </c>
      <c r="E4" s="2">
        <f>D2</f>
        <v/>
      </c>
      <c r="F4" s="2">
        <f>E2</f>
        <v/>
      </c>
      <c r="G4" s="2">
        <f>F2</f>
        <v/>
      </c>
      <c r="H4" s="2" t="inlineStr">
        <is>
          <t>ĐMX link mạnh với hàng điện tử gia dụng, housing/household appliance cycle, thị phần và sức mua.</t>
        </is>
      </c>
    </row>
    <row r="5">
      <c r="A5" s="2" t="inlineStr">
        <is>
          <t>Market share</t>
        </is>
      </c>
      <c r="B5" s="2">
        <f>Segment_Historical!F8</f>
        <v/>
      </c>
      <c r="C5" s="2">
        <f>B3+Micro_Drivers!C5</f>
        <v/>
      </c>
      <c r="D5" s="2">
        <f>C3+Micro_Drivers!D5</f>
        <v/>
      </c>
      <c r="E5" s="2">
        <f>D3+Micro_Drivers!E5</f>
        <v/>
      </c>
      <c r="F5" s="2">
        <f>E3+Micro_Drivers!F5</f>
        <v/>
      </c>
      <c r="G5" s="2">
        <f>F3+Micro_Drivers!G5</f>
        <v/>
      </c>
      <c r="H5" s="2" t="n"/>
    </row>
    <row r="6">
      <c r="A6" s="2" t="inlineStr">
        <is>
          <t>Revenue/store</t>
        </is>
      </c>
      <c r="B6" s="2">
        <f>Segment_Historical!F7</f>
        <v/>
      </c>
      <c r="C6" s="2">
        <f>B4*(1+Macro_Drivers!C2+Macro_Drivers!C4+Micro_Drivers!C4)</f>
        <v/>
      </c>
      <c r="D6" s="2">
        <f>C4*(1+Macro_Drivers!D2+Macro_Drivers!D4+Micro_Drivers!D4)</f>
        <v/>
      </c>
      <c r="E6" s="2">
        <f>D4*(1+Macro_Drivers!E2+Macro_Drivers!E4+Micro_Drivers!E4)</f>
        <v/>
      </c>
      <c r="F6" s="2">
        <f>E4*(1+Macro_Drivers!F2+Macro_Drivers!F4+Micro_Drivers!F4)</f>
        <v/>
      </c>
      <c r="G6" s="2">
        <f>F4*(1+Macro_Drivers!G2+Macro_Drivers!G4+Micro_Drivers!G4)</f>
        <v/>
      </c>
      <c r="H6" s="2" t="n"/>
    </row>
    <row r="7">
      <c r="A7" s="2" t="inlineStr">
        <is>
          <t>Revenue</t>
        </is>
      </c>
      <c r="B7" s="2">
        <f>Segment_Historical!F5</f>
        <v/>
      </c>
      <c r="C7" s="2">
        <f>C2*C4*(1+(C3-B3))</f>
        <v/>
      </c>
      <c r="D7" s="2">
        <f>D2*D4*(1+(D3-C3))</f>
        <v/>
      </c>
      <c r="E7" s="2">
        <f>E2*E4*(1+(E3-D3))</f>
        <v/>
      </c>
      <c r="F7" s="2">
        <f>F2*F4*(1+(F3-E3))</f>
        <v/>
      </c>
      <c r="G7" s="2">
        <f>G2*G4*(1+(G3-F3))</f>
        <v/>
      </c>
      <c r="H7" s="2" t="n"/>
    </row>
    <row r="8">
      <c r="A8" s="2" t="inlineStr">
        <is>
          <t>Growth</t>
        </is>
      </c>
      <c r="B8" s="2" t="n"/>
      <c r="C8" s="2">
        <f>IFERROR(C5/B5-1,0)</f>
        <v/>
      </c>
      <c r="D8" s="2">
        <f>IFERROR(D5/C5-1,0)</f>
        <v/>
      </c>
      <c r="E8" s="2">
        <f>IFERROR(E5/D5-1,0)</f>
        <v/>
      </c>
      <c r="F8" s="2">
        <f>IFERROR(F5/E5-1,0)</f>
        <v/>
      </c>
      <c r="G8" s="2">
        <f>IFERROR(G5/F5-1,0)</f>
        <v/>
      </c>
      <c r="H8" s="2" t="n"/>
    </row>
    <row r="9">
      <c r="A9" s="2" t="inlineStr">
        <is>
          <t>EBIT margin</t>
        </is>
      </c>
      <c r="B9" s="2">
        <f>Assumptions!B9</f>
        <v/>
      </c>
      <c r="C9" s="2">
        <f>Assumptions!B9</f>
        <v/>
      </c>
      <c r="D9" s="2">
        <f>Assumptions!B9</f>
        <v/>
      </c>
      <c r="E9" s="2">
        <f>Assumptions!B9</f>
        <v/>
      </c>
      <c r="F9" s="2">
        <f>Assumptions!B9</f>
        <v/>
      </c>
      <c r="G9" s="2">
        <f>Assumptions!B9</f>
        <v/>
      </c>
      <c r="H9" s="2" t="n"/>
    </row>
    <row r="10">
      <c r="A10" s="2" t="inlineStr">
        <is>
          <t>EBIT</t>
        </is>
      </c>
      <c r="B10" s="2">
        <f>B5*B7</f>
        <v/>
      </c>
      <c r="C10" s="2">
        <f>C5*C7</f>
        <v/>
      </c>
      <c r="D10" s="2">
        <f>D5*D7</f>
        <v/>
      </c>
      <c r="E10" s="2">
        <f>E5*E7</f>
        <v/>
      </c>
      <c r="F10" s="2">
        <f>F5*F7</f>
        <v/>
      </c>
      <c r="G10" s="2">
        <f>G5*G7</f>
        <v/>
      </c>
      <c r="H1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t="inlineStr">
        <is>
          <t>WARNING</t>
        </is>
      </c>
      <c r="B1" t="inlineStr">
        <is>
          <t>Các số segment hiện tại là structured estimate để model chạy logic. Chưa được tie-out 100% với annual report / segment note chính thức của MWG.</t>
        </is>
      </c>
    </row>
    <row r="2">
      <c r="A2" t="inlineStr">
        <is>
          <t>STATUS</t>
        </is>
      </c>
      <c r="B2" t="inlineStr">
        <is>
          <t>Consolidated structure usable; segment exact 2025 still pending official tie-out.</t>
        </is>
      </c>
    </row>
    <row r="3">
      <c r="A3" s="4" t="inlineStr">
        <is>
          <t>Line</t>
        </is>
      </c>
      <c r="B3" s="4" t="inlineStr">
        <is>
          <t>2025A</t>
        </is>
      </c>
      <c r="C3" s="4" t="inlineStr">
        <is>
          <t>2026E</t>
        </is>
      </c>
      <c r="D3" s="4" t="inlineStr">
        <is>
          <t>2027E</t>
        </is>
      </c>
      <c r="E3" s="4" t="inlineStr">
        <is>
          <t>2028E</t>
        </is>
      </c>
      <c r="F3" s="4" t="inlineStr">
        <is>
          <t>2029E</t>
        </is>
      </c>
      <c r="G3" s="4" t="inlineStr">
        <is>
          <t>2030E</t>
        </is>
      </c>
      <c r="H3" s="4" t="inlineStr">
        <is>
          <t>Logic</t>
        </is>
      </c>
    </row>
    <row r="4">
      <c r="A4" s="2" t="inlineStr">
        <is>
          <t>Store count</t>
        </is>
      </c>
      <c r="B4" s="2">
        <f>Segment_Historical!F10</f>
        <v/>
      </c>
      <c r="C4" s="2">
        <f>B2+C3</f>
        <v/>
      </c>
      <c r="D4" s="2">
        <f>C2+D3</f>
        <v/>
      </c>
      <c r="E4" s="2">
        <f>D2+E3</f>
        <v/>
      </c>
      <c r="F4" s="2">
        <f>E2+F3</f>
        <v/>
      </c>
      <c r="G4" s="2">
        <f>F2+G3</f>
        <v/>
      </c>
      <c r="H4" s="2" t="inlineStr">
        <is>
          <t>BHX forecast theo số cửa hàng mở mới, doanh thu/cửa hàng, SSSG, food CPI, modern trade penetration và cải thiện logistics/shrinkage.</t>
        </is>
      </c>
    </row>
    <row r="5">
      <c r="A5" s="2" t="inlineStr">
        <is>
          <t>New stores</t>
        </is>
      </c>
      <c r="B5" s="2" t="n">
        <v>0</v>
      </c>
      <c r="C5" s="2">
        <f>Micro_Drivers!C6</f>
        <v/>
      </c>
      <c r="D5" s="2">
        <f>Micro_Drivers!D6</f>
        <v/>
      </c>
      <c r="E5" s="2">
        <f>Micro_Drivers!E6</f>
        <v/>
      </c>
      <c r="F5" s="2">
        <f>Micro_Drivers!F6</f>
        <v/>
      </c>
      <c r="G5" s="2">
        <f>Micro_Drivers!G6</f>
        <v/>
      </c>
      <c r="H5" s="2" t="n"/>
    </row>
    <row r="6">
      <c r="A6" s="2" t="inlineStr">
        <is>
          <t>Revenue/store</t>
        </is>
      </c>
      <c r="B6" s="2">
        <f>Segment_Historical!F11</f>
        <v/>
      </c>
      <c r="C6" s="2">
        <f>B4*(1+Macro_Drivers!C5+Macro_Drivers!C6+Micro_Drivers!C7)</f>
        <v/>
      </c>
      <c r="D6" s="2">
        <f>C4*(1+Macro_Drivers!D5+Macro_Drivers!D6+Micro_Drivers!D7)</f>
        <v/>
      </c>
      <c r="E6" s="2">
        <f>D4*(1+Macro_Drivers!E5+Macro_Drivers!E6+Micro_Drivers!E7)</f>
        <v/>
      </c>
      <c r="F6" s="2">
        <f>E4*(1+Macro_Drivers!F5+Macro_Drivers!F6+Micro_Drivers!F7)</f>
        <v/>
      </c>
      <c r="G6" s="2">
        <f>F4*(1+Macro_Drivers!G5+Macro_Drivers!G6+Micro_Drivers!G7)</f>
        <v/>
      </c>
      <c r="H6" s="2" t="n"/>
    </row>
    <row r="7">
      <c r="A7" s="2" t="inlineStr">
        <is>
          <t>Same-store sales growth</t>
        </is>
      </c>
      <c r="B7" s="2" t="n">
        <v>0</v>
      </c>
      <c r="C7" s="2">
        <f>Micro_Drivers!C7</f>
        <v/>
      </c>
      <c r="D7" s="2">
        <f>Micro_Drivers!D7</f>
        <v/>
      </c>
      <c r="E7" s="2">
        <f>Micro_Drivers!E7</f>
        <v/>
      </c>
      <c r="F7" s="2">
        <f>Micro_Drivers!F7</f>
        <v/>
      </c>
      <c r="G7" s="2">
        <f>Micro_Drivers!G7</f>
        <v/>
      </c>
      <c r="H7" s="2" t="n"/>
    </row>
    <row r="8">
      <c r="A8" s="2" t="inlineStr">
        <is>
          <t>Revenue</t>
        </is>
      </c>
      <c r="B8" s="2">
        <f>Segment_Historical!F9</f>
        <v/>
      </c>
      <c r="C8" s="2">
        <f>C2*C4</f>
        <v/>
      </c>
      <c r="D8" s="2">
        <f>D2*D4</f>
        <v/>
      </c>
      <c r="E8" s="2">
        <f>E2*E4</f>
        <v/>
      </c>
      <c r="F8" s="2">
        <f>F2*F4</f>
        <v/>
      </c>
      <c r="G8" s="2">
        <f>G2*G4</f>
        <v/>
      </c>
      <c r="H8" s="2" t="n"/>
    </row>
    <row r="9">
      <c r="A9" s="2" t="inlineStr">
        <is>
          <t>Growth</t>
        </is>
      </c>
      <c r="B9" s="2" t="n"/>
      <c r="C9" s="2">
        <f>IFERROR(C6/B6-1,0)</f>
        <v/>
      </c>
      <c r="D9" s="2">
        <f>IFERROR(D6/C6-1,0)</f>
        <v/>
      </c>
      <c r="E9" s="2">
        <f>IFERROR(E6/D6-1,0)</f>
        <v/>
      </c>
      <c r="F9" s="2">
        <f>IFERROR(F6/E6-1,0)</f>
        <v/>
      </c>
      <c r="G9" s="2">
        <f>IFERROR(G6/F6-1,0)</f>
        <v/>
      </c>
      <c r="H9" s="2" t="n"/>
    </row>
    <row r="10">
      <c r="A10" s="2" t="inlineStr">
        <is>
          <t>EBIT margin</t>
        </is>
      </c>
      <c r="B10" s="2">
        <f>Segment_Historical!F12</f>
        <v/>
      </c>
      <c r="C10" s="2">
        <f>MIN(Assumptions!B10,B8+0.007+Micro_Drivers!C8+Micro_Drivers!C9)</f>
        <v/>
      </c>
      <c r="D10" s="2">
        <f>MIN(Assumptions!B10,C8+0.007+Micro_Drivers!D8+Micro_Drivers!D9)</f>
        <v/>
      </c>
      <c r="E10" s="2">
        <f>MIN(Assumptions!B10,D8+0.007+Micro_Drivers!E8+Micro_Drivers!E9)</f>
        <v/>
      </c>
      <c r="F10" s="2">
        <f>MIN(Assumptions!B10,E8+0.007+Micro_Drivers!F8+Micro_Drivers!F9)</f>
        <v/>
      </c>
      <c r="G10" s="2">
        <f>MIN(Assumptions!B10,F8+0.007+Micro_Drivers!G8+Micro_Drivers!G9)</f>
        <v/>
      </c>
      <c r="H10" s="2" t="n"/>
    </row>
    <row r="11">
      <c r="A11" s="2" t="inlineStr">
        <is>
          <t>EBIT</t>
        </is>
      </c>
      <c r="B11" s="2">
        <f>B6*B8</f>
        <v/>
      </c>
      <c r="C11" s="2">
        <f>C6*C8</f>
        <v/>
      </c>
      <c r="D11" s="2">
        <f>D6*D8</f>
        <v/>
      </c>
      <c r="E11" s="2">
        <f>E6*E8</f>
        <v/>
      </c>
      <c r="F11" s="2">
        <f>F6*F8</f>
        <v/>
      </c>
      <c r="G11" s="2">
        <f>G6*G8</f>
        <v/>
      </c>
      <c r="H11" s="2" t="n"/>
    </row>
    <row r="12">
      <c r="A12" s="2" t="inlineStr">
        <is>
          <t>Market share</t>
        </is>
      </c>
      <c r="B12" s="2">
        <f>Segment_Historical!F13</f>
        <v/>
      </c>
      <c r="C12" s="2">
        <f>B10+0.002</f>
        <v/>
      </c>
      <c r="D12" s="2">
        <f>C10+0.002</f>
        <v/>
      </c>
      <c r="E12" s="2">
        <f>D10+0.002</f>
        <v/>
      </c>
      <c r="F12" s="2">
        <f>E10+0.002</f>
        <v/>
      </c>
      <c r="G12" s="2">
        <f>F10+0.002</f>
        <v/>
      </c>
      <c r="H1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42" customWidth="1" min="10" max="10"/>
  </cols>
  <sheetData>
    <row r="1">
      <c r="A1" s="4" t="inlineStr">
        <is>
          <t>Business</t>
        </is>
      </c>
      <c r="B1" s="4" t="inlineStr">
        <is>
          <t>2025A Revenue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2025A EBIT margin</t>
        </is>
      </c>
      <c r="I1" s="4" t="inlineStr">
        <is>
          <t>Steady EBIT margin</t>
        </is>
      </c>
      <c r="J1" s="4" t="inlineStr">
        <is>
          <t>Ghi chú</t>
        </is>
      </c>
    </row>
    <row r="2">
      <c r="A2" s="2" t="inlineStr">
        <is>
          <t>An Khang</t>
        </is>
      </c>
      <c r="B2" s="2" t="n">
        <v>2000</v>
      </c>
      <c r="C2" s="2">
        <f>B2*(1+Micro_Drivers!C10)</f>
        <v/>
      </c>
      <c r="D2" s="2">
        <f>C2*(1+Micro_Drivers!D10)</f>
        <v/>
      </c>
      <c r="E2" s="2">
        <f>D2*(1+Micro_Drivers!E10)</f>
        <v/>
      </c>
      <c r="F2" s="2">
        <f>E2*(1+Micro_Drivers!F10)</f>
        <v/>
      </c>
      <c r="G2" s="2">
        <f>F2*(1+Micro_Drivers!G10)</f>
        <v/>
      </c>
      <c r="H2" s="2" t="n">
        <v>-0.03</v>
      </c>
      <c r="I2" s="2" t="n">
        <v>0.01</v>
      </c>
      <c r="J2" s="2" t="inlineStr">
        <is>
          <t>Nhà thuốc, scale/rationalization risk</t>
        </is>
      </c>
    </row>
    <row r="3">
      <c r="A3" s="2" t="inlineStr">
        <is>
          <t>AVAKids / specialty retail</t>
        </is>
      </c>
      <c r="B3" s="2" t="n">
        <v>3000</v>
      </c>
      <c r="C3" s="2">
        <f>B3*(1+Micro_Drivers!C10)</f>
        <v/>
      </c>
      <c r="D3" s="2">
        <f>C3*(1+Micro_Drivers!D10)</f>
        <v/>
      </c>
      <c r="E3" s="2">
        <f>D3*(1+Micro_Drivers!E10)</f>
        <v/>
      </c>
      <c r="F3" s="2">
        <f>E3*(1+Micro_Drivers!F10)</f>
        <v/>
      </c>
      <c r="G3" s="2">
        <f>F3*(1+Micro_Drivers!G10)</f>
        <v/>
      </c>
      <c r="H3" s="2" t="n">
        <v>-0.01</v>
      </c>
      <c r="I3" s="2" t="n">
        <v>0.02</v>
      </c>
      <c r="J3" s="2" t="inlineStr">
        <is>
          <t>Small-format specialty retail</t>
        </is>
      </c>
    </row>
    <row r="4">
      <c r="A4" s="2" t="inlineStr">
        <is>
          <t>Other / online / services</t>
        </is>
      </c>
      <c r="B4" s="2" t="n">
        <v>10000</v>
      </c>
      <c r="C4" s="2">
        <f>B4*(1+Micro_Drivers!C10)</f>
        <v/>
      </c>
      <c r="D4" s="2">
        <f>C4*(1+Micro_Drivers!D10)</f>
        <v/>
      </c>
      <c r="E4" s="2">
        <f>D4*(1+Micro_Drivers!E10)</f>
        <v/>
      </c>
      <c r="F4" s="2">
        <f>E4*(1+Micro_Drivers!F10)</f>
        <v/>
      </c>
      <c r="G4" s="2">
        <f>F4*(1+Micro_Drivers!G10)</f>
        <v/>
      </c>
      <c r="H4" s="2" t="n">
        <v>0.03</v>
      </c>
      <c r="I4" s="2" t="n">
        <v>0.04</v>
      </c>
      <c r="J4" s="2" t="inlineStr">
        <is>
          <t>Gộp mảng nhỏ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Hợp nhất từ từng segment, không dùng 1 growth rate chung cho toàn MWG.</t>
        </is>
      </c>
    </row>
    <row r="3">
      <c r="A3" s="2" t="inlineStr">
        <is>
          <t>DMX revenue</t>
        </is>
      </c>
      <c r="B3" s="2">
        <f>DMX_Forecast!B5</f>
        <v/>
      </c>
      <c r="C3" s="2">
        <f>DMX_Forecast!C5</f>
        <v/>
      </c>
      <c r="D3" s="2">
        <f>DMX_Forecast!D5</f>
        <v/>
      </c>
      <c r="E3" s="2">
        <f>DMX_Forecast!E5</f>
        <v/>
      </c>
      <c r="F3" s="2">
        <f>DMX_Forecast!F5</f>
        <v/>
      </c>
      <c r="G3" s="2">
        <f>DMX_Forecast!G5</f>
        <v/>
      </c>
      <c r="H3" s="2" t="n"/>
    </row>
    <row r="4">
      <c r="A4" s="2" t="inlineStr">
        <is>
          <t>BHX revenue</t>
        </is>
      </c>
      <c r="B4" s="2">
        <f>BHX_Forecast!B6</f>
        <v/>
      </c>
      <c r="C4" s="2">
        <f>BHX_Forecast!C6</f>
        <v/>
      </c>
      <c r="D4" s="2">
        <f>BHX_Forecast!D6</f>
        <v/>
      </c>
      <c r="E4" s="2">
        <f>BHX_Forecast!E6</f>
        <v/>
      </c>
      <c r="F4" s="2">
        <f>BHX_Forecast!F6</f>
        <v/>
      </c>
      <c r="G4" s="2">
        <f>BHX_Forecast!G6</f>
        <v/>
      </c>
      <c r="H4" s="2" t="n"/>
    </row>
    <row r="5">
      <c r="A5" s="2" t="inlineStr">
        <is>
          <t>Other revenue</t>
        </is>
      </c>
      <c r="B5" s="2">
        <f>SUM(Other_Subsidiaries!B2:B4)</f>
        <v/>
      </c>
      <c r="C5" s="2">
        <f>SUM(Other_Subsidiaries!C2:C4)</f>
        <v/>
      </c>
      <c r="D5" s="2">
        <f>SUM(Other_Subsidiaries!D2:D4)</f>
        <v/>
      </c>
      <c r="E5" s="2">
        <f>SUM(Other_Subsidiaries!E2:E4)</f>
        <v/>
      </c>
      <c r="F5" s="2">
        <f>SUM(Other_Subsidiaries!F2:F4)</f>
        <v/>
      </c>
      <c r="G5" s="2">
        <f>SUM(Other_Subsidiaries!G2:G4)</f>
        <v/>
      </c>
      <c r="H5" s="2" t="n"/>
    </row>
    <row r="6">
      <c r="A6" s="2" t="inlineStr">
        <is>
          <t>Consolidated revenue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  <c r="H6" s="2" t="n"/>
    </row>
    <row r="7">
      <c r="A7" s="2" t="inlineStr">
        <is>
          <t>Growth</t>
        </is>
      </c>
      <c r="B7" s="2" t="n"/>
      <c r="C7" s="2">
        <f>IFERROR(C6/B6-1,0)</f>
        <v/>
      </c>
      <c r="D7" s="2">
        <f>IFERROR(D6/C6-1,0)</f>
        <v/>
      </c>
      <c r="E7" s="2">
        <f>IFERROR(E6/D6-1,0)</f>
        <v/>
      </c>
      <c r="F7" s="2">
        <f>IFERROR(F6/E6-1,0)</f>
        <v/>
      </c>
      <c r="G7" s="2">
        <f>IFERROR(G6/F6-1,0)</f>
        <v/>
      </c>
      <c r="H7" s="2" t="n"/>
    </row>
    <row r="8">
      <c r="A8" s="2" t="inlineStr">
        <is>
          <t>TGDD EBIT</t>
        </is>
      </c>
      <c r="B8" s="2">
        <f>TGDD_Forecast!B7</f>
        <v/>
      </c>
      <c r="C8" s="2">
        <f>TGDD_Forecast!C7</f>
        <v/>
      </c>
      <c r="D8" s="2">
        <f>TGDD_Forecast!D7</f>
        <v/>
      </c>
      <c r="E8" s="2">
        <f>TGDD_Forecast!E7</f>
        <v/>
      </c>
      <c r="F8" s="2">
        <f>TGDD_Forecast!F7</f>
        <v/>
      </c>
      <c r="G8" s="2">
        <f>TGDD_Forecast!G7</f>
        <v/>
      </c>
      <c r="H8" s="2" t="n"/>
    </row>
    <row r="9">
      <c r="A9" s="2" t="inlineStr">
        <is>
          <t>DMX EBIT</t>
        </is>
      </c>
      <c r="B9" s="2">
        <f>DMX_Forecast!B8</f>
        <v/>
      </c>
      <c r="C9" s="2">
        <f>DMX_Forecast!C8</f>
        <v/>
      </c>
      <c r="D9" s="2">
        <f>DMX_Forecast!D8</f>
        <v/>
      </c>
      <c r="E9" s="2">
        <f>DMX_Forecast!E8</f>
        <v/>
      </c>
      <c r="F9" s="2">
        <f>DMX_Forecast!F8</f>
        <v/>
      </c>
      <c r="G9" s="2">
        <f>DMX_Forecast!G8</f>
        <v/>
      </c>
      <c r="H9" s="2" t="n"/>
    </row>
    <row r="10">
      <c r="A10" s="2" t="inlineStr">
        <is>
          <t>BHX EBIT</t>
        </is>
      </c>
      <c r="B10" s="2">
        <f>BHX_Forecast!B9</f>
        <v/>
      </c>
      <c r="C10" s="2">
        <f>BHX_Forecast!C9</f>
        <v/>
      </c>
      <c r="D10" s="2">
        <f>BHX_Forecast!D9</f>
        <v/>
      </c>
      <c r="E10" s="2">
        <f>BHX_Forecast!E9</f>
        <v/>
      </c>
      <c r="F10" s="2">
        <f>BHX_Forecast!F9</f>
        <v/>
      </c>
      <c r="G10" s="2">
        <f>BHX_Forecast!G9</f>
        <v/>
      </c>
      <c r="H10" s="2" t="n"/>
    </row>
    <row r="11">
      <c r="A11" s="2" t="inlineStr">
        <is>
          <t>Other EBIT</t>
        </is>
      </c>
      <c r="B11" s="2">
        <f>SUMPRODUCT(Other_Subsidiaries!B2:B4,Other_Subsidiaries!$I$2:$I$4)</f>
        <v/>
      </c>
      <c r="C11" s="2">
        <f>SUMPRODUCT(Other_Subsidiaries!C2:C4,Other_Subsidiaries!$I$2:$I$4)</f>
        <v/>
      </c>
      <c r="D11" s="2">
        <f>SUMPRODUCT(Other_Subsidiaries!D2:D4,Other_Subsidiaries!$I$2:$I$4)</f>
        <v/>
      </c>
      <c r="E11" s="2">
        <f>SUMPRODUCT(Other_Subsidiaries!E2:E4,Other_Subsidiaries!$I$2:$I$4)</f>
        <v/>
      </c>
      <c r="F11" s="2">
        <f>SUMPRODUCT(Other_Subsidiaries!F2:F4,Other_Subsidiaries!$I$2:$I$4)</f>
        <v/>
      </c>
      <c r="G11" s="2">
        <f>SUMPRODUCT(Other_Subsidiaries!G2:G4,Other_Subsidiaries!$I$2:$I$4)</f>
        <v/>
      </c>
      <c r="H11" s="2" t="n"/>
    </row>
    <row r="12">
      <c r="A12" s="2" t="inlineStr">
        <is>
          <t>Consolidated EBIT</t>
        </is>
      </c>
      <c r="B12" s="2">
        <f>SUM(B8:B11)</f>
        <v/>
      </c>
      <c r="C12" s="2">
        <f>SUM(C8:C11)</f>
        <v/>
      </c>
      <c r="D12" s="2">
        <f>SUM(D8:D11)</f>
        <v/>
      </c>
      <c r="E12" s="2">
        <f>SUM(E8:E11)</f>
        <v/>
      </c>
      <c r="F12" s="2">
        <f>SUM(F8:F11)</f>
        <v/>
      </c>
      <c r="G12" s="2">
        <f>SUM(G8:G11)</f>
        <v/>
      </c>
      <c r="H12" s="2" t="n"/>
    </row>
    <row r="13">
      <c r="A13" s="2" t="inlineStr">
        <is>
          <t>EBIT margin</t>
        </is>
      </c>
      <c r="B13" s="2">
        <f>IFERROR(B12/B6,0)</f>
        <v/>
      </c>
      <c r="C13" s="2">
        <f>IFERROR(C12/C6,0)</f>
        <v/>
      </c>
      <c r="D13" s="2">
        <f>IFERROR(D12/D6,0)</f>
        <v/>
      </c>
      <c r="E13" s="2">
        <f>IFERROR(E12/E6,0)</f>
        <v/>
      </c>
      <c r="F13" s="2">
        <f>IFERROR(F12/F6,0)</f>
        <v/>
      </c>
      <c r="G13" s="2">
        <f>IFERROR(G12/G6,0)</f>
        <v/>
      </c>
      <c r="H13" s="2" t="n"/>
    </row>
    <row r="14">
      <c r="A14" s="2" t="inlineStr">
        <is>
          <t>D&amp;A</t>
        </is>
      </c>
      <c r="B14" s="2">
        <f>B6*Assumptions!B12</f>
        <v/>
      </c>
      <c r="C14" s="2">
        <f>C6*Assumptions!B12</f>
        <v/>
      </c>
      <c r="D14" s="2">
        <f>D6*Assumptions!B12</f>
        <v/>
      </c>
      <c r="E14" s="2">
        <f>E6*Assumptions!B12</f>
        <v/>
      </c>
      <c r="F14" s="2">
        <f>F6*Assumptions!B12</f>
        <v/>
      </c>
      <c r="G14" s="2">
        <f>G6*Assumptions!B12</f>
        <v/>
      </c>
      <c r="H14" s="2" t="n"/>
    </row>
    <row r="15">
      <c r="A15" s="2" t="inlineStr">
        <is>
          <t>Capex</t>
        </is>
      </c>
      <c r="B15" s="2">
        <f>-B6*Assumptions!B13</f>
        <v/>
      </c>
      <c r="C15" s="2">
        <f>-C6*Assumptions!B13</f>
        <v/>
      </c>
      <c r="D15" s="2">
        <f>-D6*Assumptions!B13</f>
        <v/>
      </c>
      <c r="E15" s="2">
        <f>-E6*Assumptions!B13</f>
        <v/>
      </c>
      <c r="F15" s="2">
        <f>-F6*Assumptions!B13</f>
        <v/>
      </c>
      <c r="G15" s="2">
        <f>-G6*Assumptions!B13</f>
        <v/>
      </c>
      <c r="H15" s="2" t="n"/>
    </row>
    <row r="16">
      <c r="A16" s="2" t="inlineStr">
        <is>
          <t>Change NWC</t>
        </is>
      </c>
      <c r="B16" s="2" t="n">
        <v>0</v>
      </c>
      <c r="C16" s="2">
        <f>-(C6-B6)*Assumptions!B14</f>
        <v/>
      </c>
      <c r="D16" s="2">
        <f>-(D6-C6)*Assumptions!B14</f>
        <v/>
      </c>
      <c r="E16" s="2">
        <f>-(E6-D6)*Assumptions!B14</f>
        <v/>
      </c>
      <c r="F16" s="2">
        <f>-(F6-E6)*Assumptions!B14</f>
        <v/>
      </c>
      <c r="G16" s="2">
        <f>-(G6-F6)*Assumptions!B14</f>
        <v/>
      </c>
      <c r="H16" s="2" t="n"/>
    </row>
    <row r="17">
      <c r="A17" s="2" t="inlineStr">
        <is>
          <t>FCFF</t>
        </is>
      </c>
      <c r="B17" s="2">
        <f>B12*(1-Assumptions!B5)+B14+B15+B16</f>
        <v/>
      </c>
      <c r="C17" s="2">
        <f>C12*(1-Assumptions!B5)+C14+C15+C16</f>
        <v/>
      </c>
      <c r="D17" s="2">
        <f>D12*(1-Assumptions!B5)+D14+D15+D16</f>
        <v/>
      </c>
      <c r="E17" s="2">
        <f>E12*(1-Assumptions!B5)+E14+E15+E16</f>
        <v/>
      </c>
      <c r="F17" s="2">
        <f>F12*(1-Assumptions!B5)+F14+F15+F16</f>
        <v/>
      </c>
      <c r="G17" s="2">
        <f>G12*(1-Assumptions!B5)+G14+G15+G16</f>
        <v/>
      </c>
      <c r="H1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Ghi chú</t>
        </is>
      </c>
    </row>
    <row r="2">
      <c r="A2" s="2" t="inlineStr">
        <is>
          <t>PV FCFF 2026-2030</t>
        </is>
      </c>
      <c r="B2" s="2">
        <f>SUM(B4:B8)</f>
        <v/>
      </c>
      <c r="C2" s="2" t="inlineStr"/>
    </row>
    <row r="3">
      <c r="A3" s="2" t="inlineStr">
        <is>
          <t>Terminal value</t>
        </is>
      </c>
      <c r="B3" s="2">
        <f>Consolidated_Forecast!G17*(1+Assumptions!B6)/(Assumptions!B5-Assumptions!B6)</f>
        <v/>
      </c>
      <c r="C3" s="2" t="inlineStr">
        <is>
          <t>TV từ FCFF 2030</t>
        </is>
      </c>
    </row>
    <row r="4">
      <c r="A4" s="2" t="inlineStr">
        <is>
          <t>PV FCFF by year</t>
        </is>
      </c>
      <c r="B4" s="2">
        <f>Consolidated_Forecast!C17/(1+Assumptions!B5)^1</f>
        <v/>
      </c>
      <c r="C4" s="2" t="inlineStr">
        <is>
          <t>helper row below</t>
        </is>
      </c>
    </row>
    <row r="5">
      <c r="A5" s="2" t="inlineStr">
        <is>
          <t>2026 PV</t>
        </is>
      </c>
      <c r="B5" s="2">
        <f>Consolidated_Forecast!D17/(1+Assumptions!B5)^2</f>
        <v/>
      </c>
      <c r="C5" s="2" t="inlineStr"/>
    </row>
    <row r="6">
      <c r="A6" s="2" t="inlineStr">
        <is>
          <t>2027 PV</t>
        </is>
      </c>
      <c r="B6" s="2">
        <f>Consolidated_Forecast!E17/(1+Assumptions!B5)^3</f>
        <v/>
      </c>
      <c r="C6" s="2" t="inlineStr"/>
    </row>
    <row r="7">
      <c r="A7" s="2" t="inlineStr">
        <is>
          <t>2028 PV</t>
        </is>
      </c>
      <c r="B7" s="2">
        <f>Consolidated_Forecast!F17/(1+Assumptions!B5)^4</f>
        <v/>
      </c>
      <c r="C7" s="2" t="inlineStr"/>
    </row>
    <row r="8">
      <c r="A8" s="2" t="inlineStr">
        <is>
          <t>2029 PV</t>
        </is>
      </c>
      <c r="B8" s="2">
        <f>Consolidated_Forecast!G17/(1+Assumptions!B5)^5</f>
        <v/>
      </c>
      <c r="C8" s="2" t="inlineStr"/>
    </row>
    <row r="9">
      <c r="A9" s="2" t="inlineStr">
        <is>
          <t>2030 PV</t>
        </is>
      </c>
      <c r="B9" s="2">
        <f>B3/(1+Assumptions!B5)^5</f>
        <v/>
      </c>
      <c r="C9" s="2" t="inlineStr"/>
    </row>
    <row r="10">
      <c r="A10" s="2" t="inlineStr">
        <is>
          <t>PV Terminal</t>
        </is>
      </c>
      <c r="B10" s="2">
        <f>B2+B9</f>
        <v/>
      </c>
      <c r="C10" s="2" t="inlineStr"/>
    </row>
    <row r="11">
      <c r="A11" s="2" t="inlineStr">
        <is>
          <t>Enterprise value</t>
        </is>
      </c>
      <c r="B11" s="2">
        <f>B10-Assumptions!B4</f>
        <v/>
      </c>
      <c r="C11" s="2" t="inlineStr"/>
    </row>
    <row r="12">
      <c r="A12" s="2" t="inlineStr">
        <is>
          <t>Equity value</t>
        </is>
      </c>
      <c r="B12" s="2">
        <f>B11*1000/Assumptions!B3</f>
        <v/>
      </c>
      <c r="C12" s="2" t="inlineStr"/>
    </row>
    <row r="13">
      <c r="A13" s="2" t="inlineStr">
        <is>
          <t>Value/share</t>
        </is>
      </c>
      <c r="B13" s="2">
        <f>B11*1000/Assumptions!B3</f>
        <v/>
      </c>
      <c r="C13" s="2" t="inlineStr">
        <is>
          <t>VND/share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</cols>
  <sheetData>
    <row r="1">
      <c r="A1" s="4" t="inlineStr">
        <is>
          <t>Segment</t>
        </is>
      </c>
      <c r="B1" s="4" t="inlineStr">
        <is>
          <t>2030 Revenue</t>
        </is>
      </c>
      <c r="C1" s="4" t="inlineStr">
        <is>
          <t>Multiple</t>
        </is>
      </c>
      <c r="D1" s="4" t="inlineStr">
        <is>
          <t>EV</t>
        </is>
      </c>
      <c r="E1" s="4" t="inlineStr">
        <is>
          <t>Ownership / adj.</t>
        </is>
      </c>
      <c r="F1" s="4" t="inlineStr">
        <is>
          <t>Equity value</t>
        </is>
      </c>
      <c r="G1" s="4" t="inlineStr">
        <is>
          <t>Notes</t>
        </is>
      </c>
    </row>
    <row r="2">
      <c r="A2" s="2" t="inlineStr">
        <is>
          <t>TGDD</t>
        </is>
      </c>
      <c r="B2" s="2">
        <f>TGDD_Forecast!G4</f>
        <v/>
      </c>
      <c r="C2" s="2">
        <f>Assumptions!B15</f>
        <v/>
      </c>
      <c r="D2" s="2">
        <f>B2*C2</f>
        <v/>
      </c>
      <c r="E2" s="2" t="n">
        <v>1</v>
      </c>
      <c r="F2" s="2">
        <f>D2*E2</f>
        <v/>
      </c>
      <c r="G2" s="2" t="inlineStr">
        <is>
          <t>Mature mobile retail</t>
        </is>
      </c>
    </row>
    <row r="3">
      <c r="A3" s="2" t="inlineStr">
        <is>
          <t>ĐMX</t>
        </is>
      </c>
      <c r="B3" s="2">
        <f>DMX_Forecast!G5</f>
        <v/>
      </c>
      <c r="C3" s="2">
        <f>Assumptions!B16</f>
        <v/>
      </c>
      <c r="D3" s="2">
        <f>B3*C3</f>
        <v/>
      </c>
      <c r="E3" s="2" t="n">
        <v>1</v>
      </c>
      <c r="F3" s="2">
        <f>D3*E3</f>
        <v/>
      </c>
      <c r="G3" s="2" t="inlineStr">
        <is>
          <t>Điện máy, optional IPO rerating</t>
        </is>
      </c>
    </row>
    <row r="4">
      <c r="A4" s="2" t="inlineStr">
        <is>
          <t>BHX</t>
        </is>
      </c>
      <c r="B4" s="2">
        <f>BHX_Forecast!G6</f>
        <v/>
      </c>
      <c r="C4" s="2">
        <f>Assumptions!B17+Assumptions!B21</f>
        <v/>
      </c>
      <c r="D4" s="2">
        <f>B4*C4</f>
        <v/>
      </c>
      <c r="E4" s="2" t="n">
        <v>1</v>
      </c>
      <c r="F4" s="2">
        <f>D4*E4</f>
        <v/>
      </c>
      <c r="G4" s="2" t="inlineStr">
        <is>
          <t>Modern grocery optionality</t>
        </is>
      </c>
    </row>
    <row r="5">
      <c r="A5" s="2" t="inlineStr">
        <is>
          <t>Other</t>
        </is>
      </c>
      <c r="B5" s="2">
        <f>SUM(Other_Subsidiaries!G2:G4)</f>
        <v/>
      </c>
      <c r="C5" s="2">
        <f>Assumptions!B18</f>
        <v/>
      </c>
      <c r="D5" s="2">
        <f>B5*C5</f>
        <v/>
      </c>
      <c r="E5" s="2" t="n">
        <v>1</v>
      </c>
      <c r="F5" s="2">
        <f>D5*E5</f>
        <v/>
      </c>
      <c r="G5" s="2" t="inlineStr">
        <is>
          <t>Mảng khác</t>
        </is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Gross EV</t>
        </is>
      </c>
      <c r="B8" s="2" t="n"/>
      <c r="C8" s="2" t="n"/>
      <c r="D8" s="2" t="n"/>
      <c r="E8" s="2" t="n"/>
      <c r="F8" s="2">
        <f>SUM(F2:F5)</f>
        <v/>
      </c>
      <c r="G8" s="2" t="n"/>
    </row>
    <row r="9">
      <c r="A9" s="2" t="inlineStr">
        <is>
          <t>Net debt</t>
        </is>
      </c>
      <c r="B9" s="2" t="n"/>
      <c r="C9" s="2" t="n"/>
      <c r="D9" s="2" t="n"/>
      <c r="E9" s="2" t="n"/>
      <c r="F9" s="2">
        <f>Assumptions!B4</f>
        <v/>
      </c>
      <c r="G9" s="2" t="n"/>
    </row>
    <row r="10">
      <c r="A10" s="2" t="inlineStr">
        <is>
          <t>Holdco discount</t>
        </is>
      </c>
      <c r="B10" s="2" t="n"/>
      <c r="C10" s="2" t="n"/>
      <c r="D10" s="2" t="n"/>
      <c r="E10" s="2" t="n"/>
      <c r="F10" s="2">
        <f>F8*Assumptions!B22</f>
        <v/>
      </c>
      <c r="G10" s="2" t="n"/>
    </row>
    <row r="11">
      <c r="A11" s="2" t="inlineStr">
        <is>
          <t>Equity value</t>
        </is>
      </c>
      <c r="B11" s="2" t="n"/>
      <c r="C11" s="2" t="n"/>
      <c r="D11" s="2" t="n"/>
      <c r="E11" s="2" t="n"/>
      <c r="F11" s="2">
        <f>F8-F9-F10</f>
        <v/>
      </c>
      <c r="G11" s="2" t="n"/>
    </row>
    <row r="12">
      <c r="A12" s="2" t="inlineStr">
        <is>
          <t>Value/share</t>
        </is>
      </c>
      <c r="B12" s="2" t="n"/>
      <c r="C12" s="2" t="n"/>
      <c r="D12" s="2" t="n"/>
      <c r="E12" s="2" t="n"/>
      <c r="F12" s="2">
        <f>F11*1000/Assumptions!B3</f>
        <v/>
      </c>
      <c r="G1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DMX IPO post-money</t>
        </is>
      </c>
      <c r="B2" s="2">
        <f>Assumptions!B19</f>
        <v/>
      </c>
      <c r="C2" s="2" t="inlineStr">
        <is>
          <t>Giá trị thị trường giả định của ĐMX khi IPO</t>
        </is>
      </c>
    </row>
    <row r="3">
      <c r="A3" s="2" t="inlineStr">
        <is>
          <t>Stake sold</t>
        </is>
      </c>
      <c r="B3" s="2">
        <f>Assumptions!B20</f>
        <v/>
      </c>
      <c r="C3" s="2" t="inlineStr">
        <is>
          <t>Tỷ lệ bán ra</t>
        </is>
      </c>
    </row>
    <row r="4">
      <c r="A4" s="2" t="inlineStr">
        <is>
          <t>Cash proceeds</t>
        </is>
      </c>
      <c r="B4" s="2">
        <f>B2*B3</f>
        <v/>
      </c>
      <c r="C4" s="2" t="inlineStr">
        <is>
          <t>Tiền thu về</t>
        </is>
      </c>
    </row>
    <row r="5">
      <c r="A5" s="2" t="inlineStr">
        <is>
          <t>Retained stake</t>
        </is>
      </c>
      <c r="B5" s="2">
        <f>1-B3</f>
        <v/>
      </c>
      <c r="C5" s="2" t="inlineStr">
        <is>
          <t>Tỷ lệ còn nắm</t>
        </is>
      </c>
    </row>
    <row r="6">
      <c r="A6" s="2" t="inlineStr">
        <is>
          <t>Retained value</t>
        </is>
      </c>
      <c r="B6" s="2">
        <f>B2*B5</f>
        <v/>
      </c>
      <c r="C6" s="2" t="inlineStr">
        <is>
          <t>Giá trị phần còn nắm</t>
        </is>
      </c>
    </row>
    <row r="7">
      <c r="A7" s="2" t="inlineStr">
        <is>
          <t>DMX base SOTP EV</t>
        </is>
      </c>
      <c r="B7" s="2">
        <f>SOTP!D3</f>
        <v/>
      </c>
      <c r="C7" s="2" t="inlineStr">
        <is>
          <t>Giá trị ĐMX trước uplift IPO</t>
        </is>
      </c>
    </row>
    <row r="8">
      <c r="A8" s="2" t="inlineStr">
        <is>
          <t>IPO uplift</t>
        </is>
      </c>
      <c r="B8" s="2">
        <f>MAX(0,B2-B7)</f>
        <v/>
      </c>
      <c r="C8" s="2" t="inlineStr">
        <is>
          <t>Phần chênh lệch định giá nếu IPO &gt; base</t>
        </is>
      </c>
    </row>
    <row r="9">
      <c r="A9" s="2" t="inlineStr">
        <is>
          <t>Adj. equity value</t>
        </is>
      </c>
      <c r="B9" s="2">
        <f>SOTP!F11+B8</f>
        <v/>
      </c>
      <c r="C9" s="2" t="inlineStr">
        <is>
          <t>Cộng uplift vào equity SOTP</t>
        </is>
      </c>
    </row>
    <row r="10">
      <c r="A10" s="2" t="inlineStr">
        <is>
          <t>Value/share</t>
        </is>
      </c>
      <c r="B10" s="2">
        <f>B9*1000/Assumptions!B3</f>
        <v/>
      </c>
      <c r="C10" s="2" t="inlineStr">
        <is>
          <t>VND/share</t>
        </is>
      </c>
    </row>
    <row r="11">
      <c r="A11" s="2" t="inlineStr">
        <is>
          <t>Kết luận</t>
        </is>
      </c>
      <c r="B11" s="2" t="inlineStr">
        <is>
          <t>IPO ĐMX nên được xem như công cụ mở khóa SOTP, giảm net debt/tài trợ BHX, và làm rõ market benchmark cho mảng điện máy.</t>
        </is>
      </c>
      <c r="C11" s="2" t="inlineStr">
        <is>
          <t>Không nên chỉ nhìn như one-off gain.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34" customWidth="1" min="4" max="4"/>
    <col width="26" customWidth="1" min="5" max="5"/>
  </cols>
  <sheetData>
    <row r="1">
      <c r="A1" s="4" t="inlineStr">
        <is>
          <t>Mảng</t>
        </is>
      </c>
      <c r="B1" s="4" t="inlineStr">
        <is>
          <t>Biến forecast chính</t>
        </is>
      </c>
      <c r="C1" s="4" t="inlineStr">
        <is>
          <t>Macro link</t>
        </is>
      </c>
      <c r="D1" s="4" t="inlineStr">
        <is>
          <t>Micro link</t>
        </is>
      </c>
      <c r="E1" s="4" t="inlineStr">
        <is>
          <t>Định giá</t>
        </is>
      </c>
    </row>
    <row r="2">
      <c r="A2" s="2" t="inlineStr">
        <is>
          <t>TGDD</t>
        </is>
      </c>
      <c r="B2" s="2" t="inlineStr">
        <is>
          <t>store count, revenue/store, SSSG, margin</t>
        </is>
      </c>
      <c r="C2" s="2" t="inlineStr">
        <is>
          <t>thu nhập khả dụng, tín dụng tiêu dùng, confidence</t>
        </is>
      </c>
      <c r="D2" s="2" t="inlineStr">
        <is>
          <t>chu kỳ thay máy, optimization cửa hàng</t>
        </is>
      </c>
      <c r="E2" s="2" t="inlineStr">
        <is>
          <t>DCF + EV/Sales mature retail</t>
        </is>
      </c>
    </row>
    <row r="3">
      <c r="A3" s="2" t="inlineStr">
        <is>
          <t>ĐMX</t>
        </is>
      </c>
      <c r="B3" s="2" t="inlineStr">
        <is>
          <t>market share, revenue/store, margin</t>
        </is>
      </c>
      <c r="C3" s="2" t="inlineStr">
        <is>
          <t>retail durables, housing/consumer cycle</t>
        </is>
      </c>
      <c r="D3" s="2" t="inlineStr">
        <is>
          <t>share gain, assortment, financing</t>
        </is>
      </c>
      <c r="E3" s="2" t="inlineStr">
        <is>
          <t>SOTP + IPO rerating logic</t>
        </is>
      </c>
    </row>
    <row r="4">
      <c r="A4" s="2" t="inlineStr">
        <is>
          <t>BHX</t>
        </is>
      </c>
      <c r="B4" s="2" t="inlineStr">
        <is>
          <t>new stores, revenue/store, SSSG, margin ramp</t>
        </is>
      </c>
      <c r="C4" s="2" t="inlineStr">
        <is>
          <t>food retail growth, food CPI, urbanization</t>
        </is>
      </c>
      <c r="D4" s="2" t="inlineStr">
        <is>
          <t>shrinkage, logistics, procurement, scale</t>
        </is>
      </c>
      <c r="E4" s="2" t="inlineStr">
        <is>
          <t>EV/Sales + path to EBIT margin</t>
        </is>
      </c>
    </row>
    <row r="5">
      <c r="A5" s="2" t="inlineStr">
        <is>
          <t>Others</t>
        </is>
      </c>
      <c r="B5" s="2" t="inlineStr">
        <is>
          <t>doanh thu nhỏ, margin thấp</t>
        </is>
      </c>
      <c r="C5" s="2" t="inlineStr">
        <is>
          <t>tùy thị trường ngách</t>
        </is>
      </c>
      <c r="D5" s="2" t="inlineStr">
        <is>
          <t>execution discipline</t>
        </is>
      </c>
      <c r="E5" s="2" t="inlineStr">
        <is>
          <t>conservative EV/Sales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4" customWidth="1" min="2" max="2"/>
    <col width="38" customWidth="1" min="3" max="3"/>
  </cols>
  <sheetData>
    <row r="1">
      <c r="A1" s="4" t="inlineStr">
        <is>
          <t>Nguồn</t>
        </is>
      </c>
      <c r="B1" s="4" t="inlineStr">
        <is>
          <t>Link / file</t>
        </is>
      </c>
      <c r="C1" s="4" t="inlineStr">
        <is>
          <t>Ứng dụng</t>
        </is>
      </c>
    </row>
    <row r="2">
      <c r="A2" s="2" t="inlineStr">
        <is>
          <t>CafeF MWG BCTC page</t>
        </is>
      </c>
      <c r="B2" s="2" t="inlineStr">
        <is>
          <t>tmp_mwg_cafef_financials.html</t>
        </is>
      </c>
      <c r="C2" s="2" t="inlineStr">
        <is>
          <t>Nguồn BCTC và link PDF</t>
        </is>
      </c>
    </row>
    <row r="3">
      <c r="A3" s="2" t="inlineStr">
        <is>
          <t>CafeF BCTC API list</t>
        </is>
      </c>
      <c r="B3" s="2" t="inlineStr">
        <is>
          <t>tmp_mwg_bctc_list.json</t>
        </is>
      </c>
      <c r="C3" s="2" t="inlineStr">
        <is>
          <t>Xác nhận đủ 2025 kiểm toán / 2026 Q1</t>
        </is>
      </c>
    </row>
    <row r="4">
      <c r="A4" s="2" t="inlineStr">
        <is>
          <t>MWG 2025 audited consolidated PDF</t>
        </is>
      </c>
      <c r="B4" s="2" t="inlineStr">
        <is>
          <t>MWG_BCTC_Hop_Nhat_2025_Kiem_Toan.pdf</t>
        </is>
      </c>
      <c r="C4" s="2" t="inlineStr">
        <is>
          <t>Base year 2025A</t>
        </is>
      </c>
    </row>
    <row r="5">
      <c r="A5" s="2" t="inlineStr">
        <is>
          <t>Macro assumptions</t>
        </is>
      </c>
      <c r="B5" s="2" t="inlineStr">
        <is>
          <t>sheet Macro_Drivers</t>
        </is>
      </c>
      <c r="C5" s="2" t="inlineStr">
        <is>
          <t>Gắn doanh thu forecast theo ngành</t>
        </is>
      </c>
    </row>
    <row r="6">
      <c r="A6" s="2" t="inlineStr">
        <is>
          <t>Micro assumptions</t>
        </is>
      </c>
      <c r="B6" s="2" t="inlineStr">
        <is>
          <t>sheet Micro_Drivers</t>
        </is>
      </c>
      <c r="C6" s="2" t="inlineStr">
        <is>
          <t>Gắn riêng từng mảng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t="inlineStr">
        <is>
          <t>Mục</t>
        </is>
      </c>
      <c r="B1" t="inlineStr">
        <is>
          <t>Cách em input hiện tại</t>
        </is>
      </c>
      <c r="C1" t="inlineStr">
        <is>
          <t>Mức độ tin cậy</t>
        </is>
      </c>
    </row>
    <row r="2">
      <c r="A2" t="inlineStr">
        <is>
          <t>TGDD/ĐMX/BHX revenue history</t>
        </is>
      </c>
      <c r="B2" t="inlineStr">
        <is>
          <t>Ước lượng dựa trên quy mô tương đối của các mảng và tổng doanh thu MWG, dùng để model chạy chi tiết ngay.</t>
        </is>
      </c>
      <c r="C2" t="inlineStr">
        <is>
          <t>Medium-low until official segment disclosures are keyed in</t>
        </is>
      </c>
    </row>
    <row r="3">
      <c r="A3" t="inlineStr">
        <is>
          <t>BHX margin history</t>
        </is>
      </c>
      <c r="B3" t="inlineStr">
        <is>
          <t>Đặt đường cong từ lỗ sang gần hòa vốn/lãi nhẹ để phản ánh turnaround.</t>
        </is>
      </c>
      <c r="C3" t="inlineStr">
        <is>
          <t>Medium</t>
        </is>
      </c>
    </row>
    <row r="4">
      <c r="A4" t="inlineStr">
        <is>
          <t>DMX market share</t>
        </is>
      </c>
      <c r="B4" t="inlineStr">
        <is>
          <t>Assumption leader position ~50%+ in modern CE retail.</t>
        </is>
      </c>
      <c r="C4" t="inlineStr">
        <is>
          <t>Medium-low</t>
        </is>
      </c>
    </row>
    <row r="5">
      <c r="A5" t="inlineStr">
        <is>
          <t>Other revenue</t>
        </is>
      </c>
      <c r="B5" t="inlineStr">
        <is>
          <t>Residual = consolidated less core segments.</t>
        </is>
      </c>
      <c r="C5" t="inlineStr">
        <is>
          <t>Medium</t>
        </is>
      </c>
    </row>
    <row r="6">
      <c r="A6" t="inlineStr">
        <is>
          <t>Mục tiêu</t>
        </is>
      </c>
      <c r="B6" t="inlineStr">
        <is>
          <t>Cho anh có model chi tiết chạy được ngay; vòng sau nên thay bằng số từ annual report/presentation/BCTC note nếu trích được sạch.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Tách gross margin / opex / shrinkage để thấy profit bridge từng mảng.</t>
        </is>
      </c>
    </row>
    <row r="3">
      <c r="A3" s="2" t="inlineStr">
        <is>
          <t>TGDD Gross margin</t>
        </is>
      </c>
      <c r="B3" s="2" t="n">
        <v>0.205</v>
      </c>
      <c r="C3" s="2" t="n">
        <v>0.205</v>
      </c>
      <c r="D3" s="2" t="n">
        <v>0.205</v>
      </c>
      <c r="E3" s="2" t="n">
        <v>0.205</v>
      </c>
      <c r="F3" s="2" t="n">
        <v>0.205</v>
      </c>
      <c r="G3" s="2" t="n">
        <v>0.205</v>
      </c>
      <c r="H3" s="2" t="n"/>
    </row>
    <row r="4">
      <c r="A4" s="2" t="inlineStr">
        <is>
          <t>TGDD Gross profit</t>
        </is>
      </c>
      <c r="B4" s="2">
        <f>B2*B3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TGDD Opex/Sales</t>
        </is>
      </c>
      <c r="B5" s="2">
        <f>B3-TGDD_Forecast!B6</f>
        <v/>
      </c>
      <c r="C5" s="2">
        <f>C3-TGDD_Forecast!C6</f>
        <v/>
      </c>
      <c r="D5" s="2">
        <f>D3-TGDD_Forecast!D6</f>
        <v/>
      </c>
      <c r="E5" s="2">
        <f>E3-TGDD_Forecast!E6</f>
        <v/>
      </c>
      <c r="F5" s="2">
        <f>F3-TGDD_Forecast!F6</f>
        <v/>
      </c>
      <c r="G5" s="2">
        <f>G3-TGDD_Forecast!G6</f>
        <v/>
      </c>
      <c r="H5" s="2" t="n"/>
    </row>
    <row r="6">
      <c r="A6" s="2" t="inlineStr">
        <is>
          <t>TGDD EBIT</t>
        </is>
      </c>
      <c r="B6" s="2">
        <f>TGDD_Forecast!B7</f>
        <v/>
      </c>
      <c r="C6" s="2">
        <f>TGDD_Forecast!C7</f>
        <v/>
      </c>
      <c r="D6" s="2">
        <f>TGDD_Forecast!D7</f>
        <v/>
      </c>
      <c r="E6" s="2">
        <f>TGDD_Forecast!E7</f>
        <v/>
      </c>
      <c r="F6" s="2">
        <f>TGDD_Forecast!F7</f>
        <v/>
      </c>
      <c r="G6" s="2">
        <f>TGDD_Forecast!G7</f>
        <v/>
      </c>
      <c r="H6" s="2" t="n"/>
    </row>
    <row r="7">
      <c r="A7" s="2" t="inlineStr">
        <is>
          <t>TGDD EBIT margin</t>
        </is>
      </c>
      <c r="B7" s="2">
        <f>B6/B2</f>
        <v/>
      </c>
      <c r="C7" s="2">
        <f>C6/C2</f>
        <v/>
      </c>
      <c r="D7" s="2">
        <f>D6/D2</f>
        <v/>
      </c>
      <c r="E7" s="2">
        <f>E6/E2</f>
        <v/>
      </c>
      <c r="F7" s="2">
        <f>F6/F2</f>
        <v/>
      </c>
      <c r="G7" s="2">
        <f>G6/G2</f>
        <v/>
      </c>
      <c r="H7" s="2" t="n"/>
    </row>
    <row r="8">
      <c r="A8" s="2" t="inlineStr">
        <is>
          <t>DMX Revenue</t>
        </is>
      </c>
      <c r="B8" s="2">
        <f>DMX_Forecast!B5</f>
        <v/>
      </c>
      <c r="C8" s="2">
        <f>DMX_Forecast!C5</f>
        <v/>
      </c>
      <c r="D8" s="2">
        <f>DMX_Forecast!D5</f>
        <v/>
      </c>
      <c r="E8" s="2">
        <f>DMX_Forecast!E5</f>
        <v/>
      </c>
      <c r="F8" s="2">
        <f>DMX_Forecast!F5</f>
        <v/>
      </c>
      <c r="G8" s="2">
        <f>DMX_Forecast!G5</f>
        <v/>
      </c>
      <c r="H8" s="2" t="n"/>
    </row>
    <row r="9">
      <c r="A9" s="2" t="inlineStr">
        <is>
          <t>DMX Gross margin</t>
        </is>
      </c>
      <c r="B9" s="2" t="n">
        <v>0.215</v>
      </c>
      <c r="C9" s="2" t="n">
        <v>0.215</v>
      </c>
      <c r="D9" s="2" t="n">
        <v>0.215</v>
      </c>
      <c r="E9" s="2" t="n">
        <v>0.215</v>
      </c>
      <c r="F9" s="2" t="n">
        <v>0.215</v>
      </c>
      <c r="G9" s="2" t="n">
        <v>0.215</v>
      </c>
      <c r="H9" s="2" t="n"/>
    </row>
    <row r="10">
      <c r="A10" s="2" t="inlineStr">
        <is>
          <t>DMX Gross profit</t>
        </is>
      </c>
      <c r="B10" s="2">
        <f>B8*B9</f>
        <v/>
      </c>
      <c r="C10" s="2">
        <f>C8*C9</f>
        <v/>
      </c>
      <c r="D10" s="2">
        <f>D8*D9</f>
        <v/>
      </c>
      <c r="E10" s="2">
        <f>E8*E9</f>
        <v/>
      </c>
      <c r="F10" s="2">
        <f>F8*F9</f>
        <v/>
      </c>
      <c r="G10" s="2">
        <f>G8*G9</f>
        <v/>
      </c>
      <c r="H10" s="2" t="n"/>
    </row>
    <row r="11">
      <c r="A11" s="2" t="inlineStr">
        <is>
          <t>DMX Opex/Sales</t>
        </is>
      </c>
      <c r="B11" s="2">
        <f>B9-DMX_Forecast!B7</f>
        <v/>
      </c>
      <c r="C11" s="2">
        <f>C9-DMX_Forecast!C7</f>
        <v/>
      </c>
      <c r="D11" s="2">
        <f>D9-DMX_Forecast!D7</f>
        <v/>
      </c>
      <c r="E11" s="2">
        <f>E9-DMX_Forecast!E7</f>
        <v/>
      </c>
      <c r="F11" s="2">
        <f>F9-DMX_Forecast!F7</f>
        <v/>
      </c>
      <c r="G11" s="2">
        <f>G9-DMX_Forecast!G7</f>
        <v/>
      </c>
      <c r="H11" s="2" t="n"/>
    </row>
    <row r="12">
      <c r="A12" s="2" t="inlineStr">
        <is>
          <t>DMX EBIT</t>
        </is>
      </c>
      <c r="B12" s="2">
        <f>DMX_Forecast!B8</f>
        <v/>
      </c>
      <c r="C12" s="2">
        <f>DMX_Forecast!C8</f>
        <v/>
      </c>
      <c r="D12" s="2">
        <f>DMX_Forecast!D8</f>
        <v/>
      </c>
      <c r="E12" s="2">
        <f>DMX_Forecast!E8</f>
        <v/>
      </c>
      <c r="F12" s="2">
        <f>DMX_Forecast!F8</f>
        <v/>
      </c>
      <c r="G12" s="2">
        <f>DMX_Forecast!G8</f>
        <v/>
      </c>
      <c r="H12" s="2" t="n"/>
    </row>
    <row r="13">
      <c r="A13" s="2" t="inlineStr">
        <is>
          <t>DMX EBIT margin</t>
        </is>
      </c>
      <c r="B13" s="2">
        <f>B12/B8</f>
        <v/>
      </c>
      <c r="C13" s="2">
        <f>C12/C8</f>
        <v/>
      </c>
      <c r="D13" s="2">
        <f>D12/D8</f>
        <v/>
      </c>
      <c r="E13" s="2">
        <f>E12/E8</f>
        <v/>
      </c>
      <c r="F13" s="2">
        <f>F12/F8</f>
        <v/>
      </c>
      <c r="G13" s="2">
        <f>G12/G8</f>
        <v/>
      </c>
      <c r="H13" s="2" t="n"/>
    </row>
    <row r="14">
      <c r="A14" s="2" t="inlineStr">
        <is>
          <t>BHX Revenue</t>
        </is>
      </c>
      <c r="B14" s="2">
        <f>BHX_Forecast!B6</f>
        <v/>
      </c>
      <c r="C14" s="2">
        <f>BHX_Forecast!C6</f>
        <v/>
      </c>
      <c r="D14" s="2">
        <f>BHX_Forecast!D6</f>
        <v/>
      </c>
      <c r="E14" s="2">
        <f>BHX_Forecast!E6</f>
        <v/>
      </c>
      <c r="F14" s="2">
        <f>BHX_Forecast!F6</f>
        <v/>
      </c>
      <c r="G14" s="2">
        <f>BHX_Forecast!G6</f>
        <v/>
      </c>
      <c r="H14" s="2" t="n"/>
    </row>
    <row r="15">
      <c r="A15" s="2" t="inlineStr">
        <is>
          <t>BHX Gross margin</t>
        </is>
      </c>
      <c r="B15" s="2" t="n">
        <v>0.245</v>
      </c>
      <c r="C15" s="2" t="n">
        <v>0.245</v>
      </c>
      <c r="D15" s="2" t="n">
        <v>0.245</v>
      </c>
      <c r="E15" s="2" t="n">
        <v>0.245</v>
      </c>
      <c r="F15" s="2" t="n">
        <v>0.245</v>
      </c>
      <c r="G15" s="2" t="n">
        <v>0.245</v>
      </c>
      <c r="H15" s="2" t="n"/>
    </row>
    <row r="16">
      <c r="A16" s="2" t="inlineStr">
        <is>
          <t>BHX Gross profit</t>
        </is>
      </c>
      <c r="B16" s="2">
        <f>B14*B15</f>
        <v/>
      </c>
      <c r="C16" s="2">
        <f>C14*C15</f>
        <v/>
      </c>
      <c r="D16" s="2">
        <f>D14*D15</f>
        <v/>
      </c>
      <c r="E16" s="2">
        <f>E14*E15</f>
        <v/>
      </c>
      <c r="F16" s="2">
        <f>F14*F15</f>
        <v/>
      </c>
      <c r="G16" s="2">
        <f>G14*G15</f>
        <v/>
      </c>
      <c r="H16" s="2" t="n"/>
    </row>
    <row r="17">
      <c r="A17" s="2" t="inlineStr">
        <is>
          <t>BHX Shrinkage/Sales</t>
        </is>
      </c>
      <c r="B17" s="2" t="n">
        <v>0.025</v>
      </c>
      <c r="C17" s="2" t="n">
        <v>0.022</v>
      </c>
      <c r="D17" s="2" t="n">
        <v>0.02</v>
      </c>
      <c r="E17" s="2" t="n">
        <v>0.018</v>
      </c>
      <c r="F17" s="2" t="n">
        <v>0.017</v>
      </c>
      <c r="G17" s="2" t="n">
        <v>0.016</v>
      </c>
      <c r="H17" s="2" t="n"/>
    </row>
    <row r="18">
      <c r="A18" s="2" t="inlineStr">
        <is>
          <t>BHX Logistics+Store Opex/Sales</t>
        </is>
      </c>
      <c r="B18" s="2">
        <f>B15-BHX_Forecast!B8-B17</f>
        <v/>
      </c>
      <c r="C18" s="2">
        <f>C15-BHX_Forecast!C8-C17</f>
        <v/>
      </c>
      <c r="D18" s="2">
        <f>D15-BHX_Forecast!D8-D17</f>
        <v/>
      </c>
      <c r="E18" s="2">
        <f>E15-BHX_Forecast!E8-E17</f>
        <v/>
      </c>
      <c r="F18" s="2">
        <f>F15-BHX_Forecast!F8-F17</f>
        <v/>
      </c>
      <c r="G18" s="2">
        <f>G15-BHX_Forecast!G8-G17</f>
        <v/>
      </c>
      <c r="H18" s="2" t="n"/>
    </row>
    <row r="19">
      <c r="A19" s="2" t="inlineStr">
        <is>
          <t>BHX EBIT</t>
        </is>
      </c>
      <c r="B19" s="2">
        <f>BHX_Forecast!B9</f>
        <v/>
      </c>
      <c r="C19" s="2">
        <f>BHX_Forecast!C9</f>
        <v/>
      </c>
      <c r="D19" s="2">
        <f>BHX_Forecast!D9</f>
        <v/>
      </c>
      <c r="E19" s="2">
        <f>BHX_Forecast!E9</f>
        <v/>
      </c>
      <c r="F19" s="2">
        <f>BHX_Forecast!F9</f>
        <v/>
      </c>
      <c r="G19" s="2">
        <f>BHX_Forecast!G9</f>
        <v/>
      </c>
      <c r="H19" s="2" t="n"/>
    </row>
    <row r="20">
      <c r="A20" s="2" t="inlineStr">
        <is>
          <t>BHX EBIT margin</t>
        </is>
      </c>
      <c r="B20" s="2">
        <f>B19/B14</f>
        <v/>
      </c>
      <c r="C20" s="2">
        <f>C19/C14</f>
        <v/>
      </c>
      <c r="D20" s="2">
        <f>D19/D14</f>
        <v/>
      </c>
      <c r="E20" s="2">
        <f>E19/E14</f>
        <v/>
      </c>
      <c r="F20" s="2">
        <f>F19/F14</f>
        <v/>
      </c>
      <c r="G20" s="2">
        <f>G19/G14</f>
        <v/>
      </c>
      <c r="H20" s="2" t="n"/>
    </row>
    <row r="21">
      <c r="A21" s="2" t="inlineStr">
        <is>
          <t>Other Revenue</t>
        </is>
      </c>
      <c r="B21" s="2">
        <f>SUM(Other_Subsidiaries!B2:B4)</f>
        <v/>
      </c>
      <c r="C21" s="2">
        <f>SUM(Other_Subsidiaries!C2:C4)</f>
        <v/>
      </c>
      <c r="D21" s="2">
        <f>SUM(Other_Subsidiaries!D2:D4)</f>
        <v/>
      </c>
      <c r="E21" s="2">
        <f>SUM(Other_Subsidiaries!E2:E4)</f>
        <v/>
      </c>
      <c r="F21" s="2">
        <f>SUM(Other_Subsidiaries!F2:F4)</f>
        <v/>
      </c>
      <c r="G21" s="2">
        <f>SUM(Other_Subsidiaries!G2:G4)</f>
        <v/>
      </c>
      <c r="H21" s="2" t="n"/>
    </row>
    <row r="22">
      <c r="A22" s="2" t="inlineStr">
        <is>
          <t>Other EBIT margin</t>
        </is>
      </c>
      <c r="B22" s="2" t="n">
        <v>0.015</v>
      </c>
      <c r="C22" s="2" t="n">
        <v>0.015</v>
      </c>
      <c r="D22" s="2" t="n">
        <v>0.015</v>
      </c>
      <c r="E22" s="2" t="n">
        <v>0.015</v>
      </c>
      <c r="F22" s="2" t="n">
        <v>0.015</v>
      </c>
      <c r="G22" s="2" t="n">
        <v>0.015</v>
      </c>
      <c r="H22" s="2" t="n"/>
    </row>
    <row r="23">
      <c r="A23" s="2" t="inlineStr">
        <is>
          <t>Other EBIT</t>
        </is>
      </c>
      <c r="B23" s="2">
        <f>B21*B22</f>
        <v/>
      </c>
      <c r="C23" s="2">
        <f>C21*C22</f>
        <v/>
      </c>
      <c r="D23" s="2">
        <f>D21*D22</f>
        <v/>
      </c>
      <c r="E23" s="2">
        <f>E21*E22</f>
        <v/>
      </c>
      <c r="F23" s="2">
        <f>F21*F22</f>
        <v/>
      </c>
      <c r="G23" s="2">
        <f>G21*G22</f>
        <v/>
      </c>
      <c r="H23" s="2" t="n"/>
    </row>
    <row r="24">
      <c r="A24" s="2" t="inlineStr">
        <is>
          <t>Total segment EBIT</t>
        </is>
      </c>
      <c r="B24" s="2">
        <f>SUM(B6,B12,B19,B23)</f>
        <v/>
      </c>
      <c r="C24" s="2">
        <f>SUM(C6,C12,C19,C23)</f>
        <v/>
      </c>
      <c r="D24" s="2">
        <f>SUM(D6,D12,D19,D23)</f>
        <v/>
      </c>
      <c r="E24" s="2">
        <f>SUM(E6,E12,E19,E23)</f>
        <v/>
      </c>
      <c r="F24" s="2">
        <f>SUM(F6,F12,F19,F23)</f>
        <v/>
      </c>
      <c r="G24" s="2">
        <f>SUM(G6,G12,G19,G23)</f>
        <v/>
      </c>
      <c r="H24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2" customWidth="1" min="5" max="5"/>
    <col width="22" customWidth="1" min="6" max="6"/>
    <col width="46" customWidth="1" min="7" max="7"/>
  </cols>
  <sheetData>
    <row r="1">
      <c r="A1" s="4" t="inlineStr">
        <is>
          <t>Peer/segment</t>
        </is>
      </c>
      <c r="B1" s="4" t="inlineStr">
        <is>
          <t>Business type</t>
        </is>
      </c>
      <c r="C1" s="4" t="inlineStr">
        <is>
          <t>EV/Sales</t>
        </is>
      </c>
      <c r="D1" s="4" t="inlineStr">
        <is>
          <t>EV/EBITDA</t>
        </is>
      </c>
      <c r="E1" s="4" t="inlineStr">
        <is>
          <t>P/E</t>
        </is>
      </c>
      <c r="F1" s="4" t="inlineStr">
        <is>
          <t>Use for MWG</t>
        </is>
      </c>
      <c r="G1" s="4" t="inlineStr">
        <is>
          <t>Note</t>
        </is>
      </c>
    </row>
    <row r="2">
      <c r="A2" s="2" t="inlineStr">
        <is>
          <t>FRT</t>
        </is>
      </c>
      <c r="B2" s="2" t="inlineStr">
        <is>
          <t>ICT retail/pharmacy</t>
        </is>
      </c>
      <c r="C2" s="2" t="n">
        <v>0.45</v>
      </c>
      <c r="D2" s="2" t="n">
        <v>12</v>
      </c>
      <c r="E2" s="2" t="n">
        <v>22</v>
      </c>
      <c r="F2" s="2" t="inlineStr">
        <is>
          <t>TGDD reference</t>
        </is>
      </c>
      <c r="G2" s="2" t="inlineStr">
        <is>
          <t>VN listed peer, pharmacy mix differs</t>
        </is>
      </c>
    </row>
    <row r="3">
      <c r="A3" s="2" t="inlineStr">
        <is>
          <t>DGW</t>
        </is>
      </c>
      <c r="B3" s="2" t="inlineStr">
        <is>
          <t>ICT distribution</t>
        </is>
      </c>
      <c r="C3" s="2" t="n">
        <v>0.3</v>
      </c>
      <c r="D3" s="2" t="n">
        <v>8</v>
      </c>
      <c r="E3" s="2" t="n">
        <v>14</v>
      </c>
      <c r="F3" s="2" t="inlineStr">
        <is>
          <t>TGDD/ICT sanity check</t>
        </is>
      </c>
      <c r="G3" s="2" t="inlineStr">
        <is>
          <t>Distributor lower margin</t>
        </is>
      </c>
    </row>
    <row r="4">
      <c r="A4" s="2" t="inlineStr">
        <is>
          <t>WinCommerce/Masan consumer retail</t>
        </is>
      </c>
      <c r="B4" s="2" t="inlineStr">
        <is>
          <t>Grocery modern trade</t>
        </is>
      </c>
      <c r="C4" s="2" t="n">
        <v>0.7</v>
      </c>
      <c r="D4" s="2" t="n">
        <v>18</v>
      </c>
      <c r="E4" s="2" t="n">
        <v>30</v>
      </c>
      <c r="F4" s="2" t="inlineStr">
        <is>
          <t>BHX reference</t>
        </is>
      </c>
      <c r="G4" s="2" t="inlineStr">
        <is>
          <t>Grocery scale optionality</t>
        </is>
      </c>
    </row>
    <row r="5">
      <c r="A5" s="2" t="inlineStr">
        <is>
          <t>Regional electronics retailer</t>
        </is>
      </c>
      <c r="B5" s="2" t="inlineStr">
        <is>
          <t>Consumer electronics</t>
        </is>
      </c>
      <c r="C5" s="2" t="n">
        <v>0.5</v>
      </c>
      <c r="D5" s="2" t="n">
        <v>10</v>
      </c>
      <c r="E5" s="2" t="n">
        <v>18</v>
      </c>
      <c r="F5" s="2" t="inlineStr">
        <is>
          <t>ĐMX reference</t>
        </is>
      </c>
      <c r="G5" s="2" t="inlineStr">
        <is>
          <t>Cycle-sensitive</t>
        </is>
      </c>
    </row>
    <row r="6">
      <c r="A6" s="2" t="inlineStr">
        <is>
          <t>MWG implied blended</t>
        </is>
      </c>
      <c r="B6" s="2" t="inlineStr">
        <is>
          <t>Multi-format retail</t>
        </is>
      </c>
      <c r="C6" s="2" t="n">
        <v>0.45</v>
      </c>
      <c r="D6" s="2" t="n">
        <v>10</v>
      </c>
      <c r="E6" s="2" t="n">
        <v>18</v>
      </c>
      <c r="F6" s="2" t="inlineStr">
        <is>
          <t>Cross-check</t>
        </is>
      </c>
      <c r="G6" s="2" t="inlineStr">
        <is>
          <t>Depends BHX turnaround and IPO ĐMX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Metric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Interpretation</t>
        </is>
      </c>
    </row>
    <row r="2">
      <c r="A2" s="2" t="inlineStr">
        <is>
          <t>Store count</t>
        </is>
      </c>
      <c r="B2" s="2">
        <f>BHX_Forecast!B2</f>
        <v/>
      </c>
      <c r="C2" s="2">
        <f>BHX_Forecast!C2</f>
        <v/>
      </c>
      <c r="D2" s="2">
        <f>BHX_Forecast!D2</f>
        <v/>
      </c>
      <c r="E2" s="2">
        <f>BHX_Forecast!E2</f>
        <v/>
      </c>
      <c r="F2" s="2">
        <f>BHX_Forecast!F2</f>
        <v/>
      </c>
      <c r="G2" s="2">
        <f>BHX_Forecast!G2</f>
        <v/>
      </c>
      <c r="H2" s="2" t="inlineStr">
        <is>
          <t>BHX phải xem theo unit economics: revenue/store, shrinkage, logistics/store opex, EBIT/store.</t>
        </is>
      </c>
    </row>
    <row r="3">
      <c r="A3" s="2" t="inlineStr">
        <is>
          <t>Revenue/store/year</t>
        </is>
      </c>
      <c r="B3" s="2">
        <f>BHX_Forecast!B4</f>
        <v/>
      </c>
      <c r="C3" s="2">
        <f>BHX_Forecast!C4</f>
        <v/>
      </c>
      <c r="D3" s="2">
        <f>BHX_Forecast!D4</f>
        <v/>
      </c>
      <c r="E3" s="2">
        <f>BHX_Forecast!E4</f>
        <v/>
      </c>
      <c r="F3" s="2">
        <f>BHX_Forecast!F4</f>
        <v/>
      </c>
      <c r="G3" s="2">
        <f>BHX_Forecast!G4</f>
        <v/>
      </c>
      <c r="H3" s="2" t="n"/>
    </row>
    <row r="4">
      <c r="A4" s="2" t="inlineStr">
        <is>
          <t>Revenue/store/month</t>
        </is>
      </c>
      <c r="B4" s="2">
        <f>B3/12</f>
        <v/>
      </c>
      <c r="C4" s="2">
        <f>C3/12</f>
        <v/>
      </c>
      <c r="D4" s="2">
        <f>D3/12</f>
        <v/>
      </c>
      <c r="E4" s="2">
        <f>E3/12</f>
        <v/>
      </c>
      <c r="F4" s="2">
        <f>F3/12</f>
        <v/>
      </c>
      <c r="G4" s="2">
        <f>G3/12</f>
        <v/>
      </c>
      <c r="H4" s="2" t="n"/>
    </row>
    <row r="5">
      <c r="A5" s="2" t="inlineStr">
        <is>
          <t>Gross margin</t>
        </is>
      </c>
      <c r="B5" s="2">
        <f>Segment_PnL!B15</f>
        <v/>
      </c>
      <c r="C5" s="2">
        <f>Segment_PnL!C15</f>
        <v/>
      </c>
      <c r="D5" s="2">
        <f>Segment_PnL!D15</f>
        <v/>
      </c>
      <c r="E5" s="2">
        <f>Segment_PnL!E15</f>
        <v/>
      </c>
      <c r="F5" s="2">
        <f>Segment_PnL!F15</f>
        <v/>
      </c>
      <c r="G5" s="2">
        <f>Segment_PnL!G15</f>
        <v/>
      </c>
      <c r="H5" s="2" t="n"/>
    </row>
    <row r="6">
      <c r="A6" s="2" t="inlineStr">
        <is>
          <t>Shrinkage</t>
        </is>
      </c>
      <c r="B6" s="2">
        <f>Segment_PnL!B17</f>
        <v/>
      </c>
      <c r="C6" s="2">
        <f>Segment_PnL!C17</f>
        <v/>
      </c>
      <c r="D6" s="2">
        <f>Segment_PnL!D17</f>
        <v/>
      </c>
      <c r="E6" s="2">
        <f>Segment_PnL!E17</f>
        <v/>
      </c>
      <c r="F6" s="2">
        <f>Segment_PnL!F17</f>
        <v/>
      </c>
      <c r="G6" s="2">
        <f>Segment_PnL!G17</f>
        <v/>
      </c>
      <c r="H6" s="2" t="n"/>
    </row>
    <row r="7">
      <c r="A7" s="2" t="inlineStr">
        <is>
          <t>Logistics+store opex</t>
        </is>
      </c>
      <c r="B7" s="2">
        <f>Segment_PnL!B18</f>
        <v/>
      </c>
      <c r="C7" s="2">
        <f>Segment_PnL!C18</f>
        <v/>
      </c>
      <c r="D7" s="2">
        <f>Segment_PnL!D18</f>
        <v/>
      </c>
      <c r="E7" s="2">
        <f>Segment_PnL!E18</f>
        <v/>
      </c>
      <c r="F7" s="2">
        <f>Segment_PnL!F18</f>
        <v/>
      </c>
      <c r="G7" s="2">
        <f>Segment_PnL!G18</f>
        <v/>
      </c>
      <c r="H7" s="2" t="n"/>
    </row>
    <row r="8">
      <c r="A8" s="2" t="inlineStr">
        <is>
          <t>EBIT/store/year</t>
        </is>
      </c>
      <c r="B8" s="2">
        <f>BHX_Forecast!B9/B2</f>
        <v/>
      </c>
      <c r="C8" s="2">
        <f>BHX_Forecast!C9/C2</f>
        <v/>
      </c>
      <c r="D8" s="2">
        <f>BHX_Forecast!D9/D2</f>
        <v/>
      </c>
      <c r="E8" s="2">
        <f>BHX_Forecast!E9/E2</f>
        <v/>
      </c>
      <c r="F8" s="2">
        <f>BHX_Forecast!F9/F2</f>
        <v/>
      </c>
      <c r="G8" s="2">
        <f>BHX_Forecast!G9/G2</f>
        <v/>
      </c>
      <c r="H8" s="2" t="n"/>
    </row>
    <row r="9">
      <c r="A9" s="2" t="inlineStr">
        <is>
          <t>EBIT margin</t>
        </is>
      </c>
      <c r="B9" s="2">
        <f>BHX_Forecast!B8</f>
        <v/>
      </c>
      <c r="C9" s="2">
        <f>BHX_Forecast!C8</f>
        <v/>
      </c>
      <c r="D9" s="2">
        <f>BHX_Forecast!D8</f>
        <v/>
      </c>
      <c r="E9" s="2">
        <f>BHX_Forecast!E8</f>
        <v/>
      </c>
      <c r="F9" s="2">
        <f>BHX_Forecast!F8</f>
        <v/>
      </c>
      <c r="G9" s="2">
        <f>BHX_Forecast!G8</f>
        <v/>
      </c>
      <c r="H9" s="2" t="n"/>
    </row>
    <row r="10">
      <c r="A10" s="2" t="inlineStr">
        <is>
          <t>Market share</t>
        </is>
      </c>
      <c r="B10" s="2">
        <f>BHX_Forecast!B10</f>
        <v/>
      </c>
      <c r="C10" s="2">
        <f>BHX_Forecast!C10</f>
        <v/>
      </c>
      <c r="D10" s="2">
        <f>BHX_Forecast!D10</f>
        <v/>
      </c>
      <c r="E10" s="2">
        <f>BHX_Forecast!E10</f>
        <v/>
      </c>
      <c r="F10" s="2">
        <f>BHX_Forecast!F10</f>
        <v/>
      </c>
      <c r="G10" s="2">
        <f>BHX_Forecast!G10</f>
        <v/>
      </c>
      <c r="H1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60" customWidth="1" min="8" max="8"/>
  </cols>
  <sheetData>
    <row r="1">
      <c r="A1" s="4" t="inlineStr">
        <is>
          <t>Case</t>
        </is>
      </c>
      <c r="B1" s="4" t="inlineStr">
        <is>
          <t>IPO valuation</t>
        </is>
      </c>
      <c r="C1" s="4" t="inlineStr">
        <is>
          <t>Stake sold</t>
        </is>
      </c>
      <c r="D1" s="4" t="inlineStr">
        <is>
          <t>Proceeds</t>
        </is>
      </c>
      <c r="E1" s="4" t="inlineStr">
        <is>
          <t>Retained value</t>
        </is>
      </c>
      <c r="F1" s="4" t="inlineStr">
        <is>
          <t>Uplift vs base SOTP</t>
        </is>
      </c>
      <c r="G1" s="4" t="inlineStr">
        <is>
          <t>Value/share impact</t>
        </is>
      </c>
      <c r="H1" s="4" t="inlineStr">
        <is>
          <t>Comment</t>
        </is>
      </c>
    </row>
    <row r="2">
      <c r="A2" s="2" t="inlineStr">
        <is>
          <t>Bear</t>
        </is>
      </c>
      <c r="B2" s="2" t="n">
        <v>32000</v>
      </c>
      <c r="C2" s="2" t="n">
        <v>0.15</v>
      </c>
      <c r="D2" s="2">
        <f>B2*C2</f>
        <v/>
      </c>
      <c r="E2" s="2">
        <f>B2*(1-C2)</f>
        <v/>
      </c>
      <c r="F2" s="2">
        <f>MAX(0,B2-SOTP!D3)</f>
        <v/>
      </c>
      <c r="G2" s="2">
        <f>F2*1000/Assumptions!B3</f>
        <v/>
      </c>
      <c r="H2" s="2" t="inlineStr">
        <is>
          <t>IPO creates observable valuation anchor; proceeds reduce balance-sheet pressure or fund BHX.</t>
        </is>
      </c>
    </row>
    <row r="3">
      <c r="A3" s="2" t="inlineStr">
        <is>
          <t>Base</t>
        </is>
      </c>
      <c r="B3" s="2" t="n">
        <v>45000</v>
      </c>
      <c r="C3" s="2" t="n">
        <v>0.2</v>
      </c>
      <c r="D3" s="2">
        <f>B3*C3</f>
        <v/>
      </c>
      <c r="E3" s="2">
        <f>B3*(1-C3)</f>
        <v/>
      </c>
      <c r="F3" s="2">
        <f>MAX(0,B3-SOTP!D3)</f>
        <v/>
      </c>
      <c r="G3" s="2">
        <f>F3*1000/Assumptions!B3</f>
        <v/>
      </c>
      <c r="H3" s="2" t="inlineStr">
        <is>
          <t>IPO creates observable valuation anchor; proceeds reduce balance-sheet pressure or fund BHX.</t>
        </is>
      </c>
    </row>
    <row r="4">
      <c r="A4" s="2" t="inlineStr">
        <is>
          <t>Bull</t>
        </is>
      </c>
      <c r="B4" s="2" t="n">
        <v>60000</v>
      </c>
      <c r="C4" s="2" t="n">
        <v>0.25</v>
      </c>
      <c r="D4" s="2">
        <f>B4*C4</f>
        <v/>
      </c>
      <c r="E4" s="2">
        <f>B4*(1-C4)</f>
        <v/>
      </c>
      <c r="F4" s="2">
        <f>MAX(0,B4-SOTP!D3)</f>
        <v/>
      </c>
      <c r="G4" s="2">
        <f>F4*1000/Assumptions!B3</f>
        <v/>
      </c>
      <c r="H4" s="2" t="inlineStr">
        <is>
          <t>IPO creates observable valuation anchor; proceeds reduce balance-sheet pressure or fund BHX.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4" t="inlineStr">
        <is>
          <t>Output</t>
        </is>
      </c>
      <c r="B1" s="4" t="inlineStr">
        <is>
          <t>Bear</t>
        </is>
      </c>
      <c r="C1" s="4" t="inlineStr">
        <is>
          <t>Base</t>
        </is>
      </c>
      <c r="D1" s="4" t="inlineStr">
        <is>
          <t>Bull</t>
        </is>
      </c>
      <c r="E1" s="4" t="inlineStr">
        <is>
          <t>Formula/logic</t>
        </is>
      </c>
    </row>
    <row r="2">
      <c r="A2" s="2" t="inlineStr">
        <is>
          <t>DCF value/share</t>
        </is>
      </c>
      <c r="B2" s="2">
        <f>DCF!B12*0.85</f>
        <v/>
      </c>
      <c r="C2" s="2">
        <f>DCF!B12</f>
        <v/>
      </c>
      <c r="D2" s="2">
        <f>DCF!B12*1.15</f>
        <v/>
      </c>
      <c r="E2" s="2" t="inlineStr">
        <is>
          <t>Sensitivity wrapper</t>
        </is>
      </c>
    </row>
    <row r="3">
      <c r="A3" s="2" t="inlineStr">
        <is>
          <t>SOTP value/share</t>
        </is>
      </c>
      <c r="B3" s="2">
        <f>SOTP!F12*0.85</f>
        <v/>
      </c>
      <c r="C3" s="2">
        <f>SOTP!F12</f>
        <v/>
      </c>
      <c r="D3" s="2">
        <f>SOTP!F12*1.20</f>
        <v/>
      </c>
      <c r="E3" s="2" t="inlineStr">
        <is>
          <t>Multiple scenario</t>
        </is>
      </c>
    </row>
    <row r="4">
      <c r="A4" s="2" t="inlineStr">
        <is>
          <t>IPO adjusted value/share</t>
        </is>
      </c>
      <c r="B4" s="2">
        <f>DMX_IPO_DeepDive!G2+SOTP!F12</f>
        <v/>
      </c>
      <c r="C4" s="2">
        <f>DMX_IPO_DeepDive!G3+SOTP!F12</f>
        <v/>
      </c>
      <c r="D4" s="2">
        <f>DMX_IPO_DeepDive!G4+SOTP!F12</f>
        <v/>
      </c>
      <c r="E4" s="2" t="inlineStr">
        <is>
          <t>DMX IPO uplift</t>
        </is>
      </c>
    </row>
    <row r="5">
      <c r="A5" s="2" t="inlineStr">
        <is>
          <t>Blended target price</t>
        </is>
      </c>
      <c r="B5" s="2">
        <f>AVERAGE(B2:B4)</f>
        <v/>
      </c>
      <c r="C5" s="2">
        <f>AVERAGE(C2:C4)</f>
        <v/>
      </c>
      <c r="D5" s="2">
        <f>AVERAGE(D2:D4)</f>
        <v/>
      </c>
      <c r="E5" s="2" t="inlineStr">
        <is>
          <t>Equal-weight scenario</t>
        </is>
      </c>
    </row>
    <row r="6">
      <c r="A6" s="2" t="inlineStr">
        <is>
          <t>Upside/downside</t>
        </is>
      </c>
      <c r="B6" s="2">
        <f>B5/Assumptions!B2-1</f>
        <v/>
      </c>
      <c r="C6" s="2">
        <f>C5/Assumptions!B2-1</f>
        <v/>
      </c>
      <c r="D6" s="2">
        <f>D5/Assumptions!B2-1</f>
        <v/>
      </c>
      <c r="E6" s="2" t="inlineStr">
        <is>
          <t>vs current price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58" customWidth="1" min="4" max="4"/>
  </cols>
  <sheetData>
    <row r="1">
      <c r="A1" s="4" t="inlineStr">
        <is>
          <t>Area</t>
        </is>
      </c>
      <c r="B1" s="4" t="inlineStr">
        <is>
          <t>Current status</t>
        </is>
      </c>
      <c r="C1" s="4" t="inlineStr">
        <is>
          <t>Confidence</t>
        </is>
      </c>
      <c r="D1" s="4" t="inlineStr">
        <is>
          <t>Next action</t>
        </is>
      </c>
    </row>
    <row r="2">
      <c r="A2" s="2" t="inlineStr">
        <is>
          <t>Consolidated 2021-2025</t>
        </is>
      </c>
      <c r="B2" s="2" t="inlineStr">
        <is>
          <t>Input manually to make model run; needs audit tie-out</t>
        </is>
      </c>
      <c r="C2" s="2" t="inlineStr">
        <is>
          <t>Medium</t>
        </is>
      </c>
      <c r="D2" s="2" t="inlineStr">
        <is>
          <t>Tie to BCTC statements</t>
        </is>
      </c>
    </row>
    <row r="3">
      <c r="A3" s="2" t="inlineStr">
        <is>
          <t>TGDD revenue/store</t>
        </is>
      </c>
      <c r="B3" s="2" t="inlineStr">
        <is>
          <t>Manual structured input</t>
        </is>
      </c>
      <c r="C3" s="2" t="inlineStr">
        <is>
          <t>Medium-low</t>
        </is>
      </c>
      <c r="D3" s="2" t="inlineStr">
        <is>
          <t>Pull from MWG annual report / monthly KPI</t>
        </is>
      </c>
    </row>
    <row r="4">
      <c r="A4" s="2" t="inlineStr">
        <is>
          <t>DMX revenue/share</t>
        </is>
      </c>
      <c r="B4" s="2" t="inlineStr">
        <is>
          <t>Manual structured input</t>
        </is>
      </c>
      <c r="C4" s="2" t="inlineStr">
        <is>
          <t>Medium-low</t>
        </is>
      </c>
      <c r="D4" s="2" t="inlineStr">
        <is>
          <t>Pull market share/company presentation</t>
        </is>
      </c>
    </row>
    <row r="5">
      <c r="A5" s="2" t="inlineStr">
        <is>
          <t>BHX revenue/store/margin</t>
        </is>
      </c>
      <c r="B5" s="2" t="inlineStr">
        <is>
          <t>Manual structured input with turnaround logic</t>
        </is>
      </c>
      <c r="C5" s="2" t="inlineStr">
        <is>
          <t>Medium</t>
        </is>
      </c>
      <c r="D5" s="2" t="inlineStr">
        <is>
          <t>Pull BHX disclosure, store count, monthly revenue/store</t>
        </is>
      </c>
    </row>
    <row r="6">
      <c r="A6" s="2" t="inlineStr">
        <is>
          <t>IPO ĐMX</t>
        </is>
      </c>
      <c r="B6" s="2" t="inlineStr">
        <is>
          <t>Scenario-based</t>
        </is>
      </c>
      <c r="C6" s="2" t="inlineStr">
        <is>
          <t>Medium</t>
        </is>
      </c>
      <c r="D6" s="2" t="inlineStr">
        <is>
          <t>Update when IPO prospectus/valuation appears</t>
        </is>
      </c>
    </row>
    <row r="7">
      <c r="A7" t="inlineStr">
        <is>
          <t>2025 correction</t>
        </is>
      </c>
      <c r="B7" t="inlineStr">
        <is>
          <t>Adjusted 2025 segment split to sum to consolidated estimate and marked as estimate, not official.</t>
        </is>
      </c>
      <c r="C7" t="inlineStr">
        <is>
          <t>Medium-low</t>
        </is>
      </c>
      <c r="D7" t="inlineStr">
        <is>
          <t>Need official MWG segment disclosure tie-out</t>
        </is>
      </c>
    </row>
    <row r="8">
      <c r="A8" t="inlineStr">
        <is>
          <t>Formula errors</t>
        </is>
      </c>
      <c r="B8" t="inlineStr">
        <is>
          <t>Removed array formulas and blank-driven formulas causing #VALUE.</t>
        </is>
      </c>
      <c r="C8" t="inlineStr">
        <is>
          <t>High</t>
        </is>
      </c>
      <c r="D8" t="inlineStr">
        <is>
          <t>Open in Excel and recalc</t>
        </is>
      </c>
    </row>
    <row r="9">
      <c r="A9" t="inlineStr">
        <is>
          <t>Official 2025 consolidated PDF</t>
        </is>
      </c>
      <c r="B9" t="inlineStr">
        <is>
          <t>Downloaded from CafeF list and stored locally</t>
        </is>
      </c>
      <c r="C9" t="inlineStr">
        <is>
          <t>High</t>
        </is>
      </c>
      <c r="D9" t="inlineStr">
        <is>
          <t>Need line-item extraction / manual key-in from audited PDF</t>
        </is>
      </c>
    </row>
    <row r="10">
      <c r="A10" t="inlineStr">
        <is>
          <t>Official 2025 segment revenue/profit</t>
        </is>
      </c>
      <c r="B10" t="inlineStr">
        <is>
          <t>Not yet extracted cleanly from official disclosures</t>
        </is>
      </c>
      <c r="C10" t="inlineStr">
        <is>
          <t>Low</t>
        </is>
      </c>
      <c r="D10" t="inlineStr">
        <is>
          <t>Need annual report / investor presentation / segment note</t>
        </is>
      </c>
    </row>
    <row r="11">
      <c r="A11" t="inlineStr">
        <is>
          <t>Current model usage</t>
        </is>
      </c>
      <c r="B11" t="inlineStr">
        <is>
          <t>Best used for framework, scenario analysis, and sensitivity</t>
        </is>
      </c>
      <c r="C11" t="inlineStr">
        <is>
          <t>High</t>
        </is>
      </c>
      <c r="D11" t="inlineStr">
        <is>
          <t>Do not present as final audited valuation yet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t="inlineStr">
        <is>
          <t>Need exact item</t>
        </is>
      </c>
      <c r="B1" t="inlineStr">
        <is>
          <t>Why needed</t>
        </is>
      </c>
      <c r="C1" t="inlineStr">
        <is>
          <t>Suggested source</t>
        </is>
      </c>
      <c r="D1" t="inlineStr">
        <is>
          <t>Priority</t>
        </is>
      </c>
    </row>
    <row r="2">
      <c r="A2" t="inlineStr">
        <is>
          <t>2021-2025 TGDD revenue</t>
        </is>
      </c>
      <c r="B2" t="inlineStr">
        <is>
          <t>Needed to tie history and revenue/store</t>
        </is>
      </c>
      <c r="C2" t="inlineStr">
        <is>
          <t>Annual report / investor presentation</t>
        </is>
      </c>
      <c r="D2" t="inlineStr">
        <is>
          <t>High</t>
        </is>
      </c>
    </row>
    <row r="3">
      <c r="A3" t="inlineStr">
        <is>
          <t>2021-2025 ĐMX revenue</t>
        </is>
      </c>
      <c r="B3" t="inlineStr">
        <is>
          <t>Core earnings driver</t>
        </is>
      </c>
      <c r="C3" t="inlineStr">
        <is>
          <t>Annual report / investor presentation</t>
        </is>
      </c>
      <c r="D3" t="inlineStr">
        <is>
          <t>High</t>
        </is>
      </c>
    </row>
    <row r="4">
      <c r="A4" t="inlineStr">
        <is>
          <t>2021-2025 BHX revenue</t>
        </is>
      </c>
      <c r="B4" t="inlineStr">
        <is>
          <t>Core grocery forecast base</t>
        </is>
      </c>
      <c r="C4" t="inlineStr">
        <is>
          <t>Annual report / investor presentation</t>
        </is>
      </c>
      <c r="D4" t="inlineStr">
        <is>
          <t>High</t>
        </is>
      </c>
    </row>
    <row r="5">
      <c r="A5" t="inlineStr">
        <is>
          <t>2021-2025 BHX EBIT margin / loss</t>
        </is>
      </c>
      <c r="B5" t="inlineStr">
        <is>
          <t>Critical for turnaround path</t>
        </is>
      </c>
      <c r="C5" t="inlineStr">
        <is>
          <t>Annual report / management commentary</t>
        </is>
      </c>
      <c r="D5" t="inlineStr">
        <is>
          <t>High</t>
        </is>
      </c>
    </row>
    <row r="6">
      <c r="A6" t="inlineStr">
        <is>
          <t>2021-2025 store count TGDD/ĐMX/BHX</t>
        </is>
      </c>
      <c r="B6" t="inlineStr">
        <is>
          <t>Needed for revenue/store logic</t>
        </is>
      </c>
      <c r="C6" t="inlineStr">
        <is>
          <t>Monthly KPI / annual report</t>
        </is>
      </c>
      <c r="D6" t="inlineStr">
        <is>
          <t>High</t>
        </is>
      </c>
    </row>
    <row r="7">
      <c r="A7" t="inlineStr">
        <is>
          <t>ĐMX market share by year</t>
        </is>
      </c>
      <c r="B7" t="inlineStr">
        <is>
          <t>Needed for share-driven forecast</t>
        </is>
      </c>
      <c r="C7" t="inlineStr">
        <is>
          <t>Company commentary / industry report</t>
        </is>
      </c>
      <c r="D7" t="inlineStr">
        <is>
          <t>Medium</t>
        </is>
      </c>
    </row>
    <row r="8">
      <c r="A8" t="inlineStr">
        <is>
          <t>BHX market share by year</t>
        </is>
      </c>
      <c r="B8" t="inlineStr">
        <is>
          <t>Needed for grocery penetration case</t>
        </is>
      </c>
      <c r="C8" t="inlineStr">
        <is>
          <t>Industry report / management commentary</t>
        </is>
      </c>
      <c r="D8" t="inlineStr">
        <is>
          <t>Medium</t>
        </is>
      </c>
    </row>
    <row r="9">
      <c r="A9" t="inlineStr">
        <is>
          <t>Current net debt and shares</t>
        </is>
      </c>
      <c r="B9" t="inlineStr">
        <is>
          <t>Needed for final value/share</t>
        </is>
      </c>
      <c r="C9" t="inlineStr">
        <is>
          <t>Latest financial statements</t>
        </is>
      </c>
      <c r="D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2026-05-31T11:30:33Z</dcterms:created>
  <dcterms:modified xmlns:dcterms="http://purl.org/dc/terms/" xmlns:xsi="http://www.w3.org/2001/XMLSchema-instance" xsi:type="dcterms:W3CDTF">2026-05-31T11:54:27Z</dcterms:modified>
</cp:coreProperties>
</file>