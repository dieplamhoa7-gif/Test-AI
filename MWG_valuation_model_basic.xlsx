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Historical_FS" sheetId="3" state="visible" r:id="rId3"/>
    <sheet xmlns:r="http://schemas.openxmlformats.org/officeDocument/2006/relationships" name="DCF_Consolidated" sheetId="4" state="visible" r:id="rId4"/>
    <sheet xmlns:r="http://schemas.openxmlformats.org/officeDocument/2006/relationships" name="SOTP" sheetId="5" state="visible" r:id="rId5"/>
    <sheet xmlns:r="http://schemas.openxmlformats.org/officeDocument/2006/relationships" name="DMX_IPO" sheetId="6" state="visible" r:id="rId6"/>
    <sheet xmlns:r="http://schemas.openxmlformats.org/officeDocument/2006/relationships" name="BHX_Analysis" sheetId="7" state="visible" r:id="rId7"/>
    <sheet xmlns:r="http://schemas.openxmlformats.org/officeDocument/2006/relationships" name="Macro_VN" sheetId="8" state="visible" r:id="rId8"/>
    <sheet xmlns:r="http://schemas.openxmlformats.org/officeDocument/2006/relationships" name="Sensitivity"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8"/>
      <sz val="16"/>
    </font>
    <font>
      <b val="1"/>
      <color rgb="00FFFFFF"/>
    </font>
    <font>
      <b val="1"/>
    </font>
  </fonts>
  <fills count="6">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MWG BASIC VALUATION MODEL - DCF + SOTP + IPO ĐMX + BHX</t>
        </is>
      </c>
      <c r="B1" s="2" t="n"/>
    </row>
    <row r="2">
      <c r="A2" s="2" t="n"/>
      <c r="B2" s="2" t="n"/>
    </row>
    <row r="3">
      <c r="A3" s="2" t="inlineStr">
        <is>
          <t>Mục tiêu</t>
        </is>
      </c>
      <c r="B3" s="2" t="inlineStr">
        <is>
          <t>Khung Excel định giá MWG bản cơ bản, có thể chỉnh assumptions. Dữ liệu lịch sử là placeholder/assumption cần cập nhật bằng BCTC chính thức.</t>
        </is>
      </c>
    </row>
    <row r="4">
      <c r="A4" s="2" t="n"/>
      <c r="B4" s="2" t="n"/>
    </row>
    <row r="5">
      <c r="A5" s="2" t="inlineStr">
        <is>
          <t>Sheets</t>
        </is>
      </c>
      <c r="B5" s="2" t="n"/>
    </row>
    <row r="6">
      <c r="A6" s="2" t="inlineStr">
        <is>
          <t>Assumptions</t>
        </is>
      </c>
      <c r="B6" s="2" t="inlineStr">
        <is>
          <t>Các giả định chính</t>
        </is>
      </c>
    </row>
    <row r="7">
      <c r="A7" s="2" t="inlineStr">
        <is>
          <t>Historical_FS</t>
        </is>
      </c>
      <c r="B7" s="2" t="inlineStr">
        <is>
          <t>BCTC lịch sử/normalized</t>
        </is>
      </c>
    </row>
    <row r="8">
      <c r="A8" s="2" t="inlineStr">
        <is>
          <t>DCF_Consolidated</t>
        </is>
      </c>
      <c r="B8" s="2" t="inlineStr">
        <is>
          <t>DCF hợp nhất</t>
        </is>
      </c>
    </row>
    <row r="9">
      <c r="A9" s="2" t="inlineStr">
        <is>
          <t>SOTP</t>
        </is>
      </c>
      <c r="B9" s="2" t="inlineStr">
        <is>
          <t>Sum-of-the-parts TGDD/ĐMX/BHX/khác</t>
        </is>
      </c>
    </row>
    <row r="10">
      <c r="A10" s="2" t="inlineStr">
        <is>
          <t>DMX_IPO</t>
        </is>
      </c>
      <c r="B10" s="2" t="inlineStr">
        <is>
          <t>Phân tích IPO ĐMX và tác động đến MWG</t>
        </is>
      </c>
    </row>
    <row r="11">
      <c r="A11" s="2" t="inlineStr">
        <is>
          <t>BHX_Analysis</t>
        </is>
      </c>
      <c r="B11" s="2" t="inlineStr">
        <is>
          <t>Vận hành BHX, thị phần, triển vọng</t>
        </is>
      </c>
    </row>
    <row r="12">
      <c r="A12" s="2" t="inlineStr">
        <is>
          <t>Macro_VN</t>
        </is>
      </c>
      <c r="B12" s="2" t="inlineStr">
        <is>
          <t>Macro Việt Nam</t>
        </is>
      </c>
    </row>
    <row r="13">
      <c r="A13" s="2" t="inlineStr">
        <is>
          <t>Sensitivity</t>
        </is>
      </c>
      <c r="B13" s="2" t="inlineStr">
        <is>
          <t>Độ nhạy WACC/g</t>
        </is>
      </c>
    </row>
    <row r="14">
      <c r="A14" s="2" t="inlineStr">
        <is>
          <t>Sources</t>
        </is>
      </c>
      <c r="B14" s="2" t="inlineStr">
        <is>
          <t>Nguồn cần cập nhật</t>
        </is>
      </c>
    </row>
    <row r="15">
      <c r="A15" s="2" t="n"/>
      <c r="B15" s="2" t="n"/>
    </row>
    <row r="16">
      <c r="A16" s="2" t="n"/>
      <c r="B16" s="2" t="n"/>
    </row>
    <row r="17">
      <c r="A17" s="2" t="inlineStr">
        <is>
          <t>Lưu ý quan trọng</t>
        </is>
      </c>
      <c r="B17" s="2" t="inlineStr">
        <is>
          <t>Không phải khuyến nghị đầu tư. Cần cập nhật BCTC, giá cổ phiếu, số cổ phiếu, nợ tiền mặt từ nguồn chính thức trước khi ra quyết định.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3" t="inlineStr">
        <is>
          <t>Input</t>
        </is>
      </c>
      <c r="B1" s="3" t="inlineStr">
        <is>
          <t>Base</t>
        </is>
      </c>
      <c r="C1" s="3" t="inlineStr">
        <is>
          <t>Bull</t>
        </is>
      </c>
      <c r="D1" s="3" t="inlineStr">
        <is>
          <t>Bear</t>
        </is>
      </c>
      <c r="E1" s="3" t="inlineStr">
        <is>
          <t>Unit</t>
        </is>
      </c>
      <c r="F1" s="3" t="inlineStr">
        <is>
          <t>Ghi chú</t>
        </is>
      </c>
      <c r="G1" s="3" t="inlineStr">
        <is>
          <t>Editable</t>
        </is>
      </c>
    </row>
    <row r="2">
      <c r="A2" s="4" t="inlineStr">
        <is>
          <t>Revenue 2024</t>
        </is>
      </c>
      <c r="B2" s="5" t="n">
        <v>134000</v>
      </c>
      <c r="C2" s="6" t="n">
        <v>134000</v>
      </c>
      <c r="D2" s="7" t="n">
        <v>134000</v>
      </c>
      <c r="E2" s="4" t="inlineStr">
        <is>
          <t>VNDbn</t>
        </is>
      </c>
      <c r="F2" s="4" t="inlineStr">
        <is>
          <t>Placeholder; cập nhật theo BCTC MWG</t>
        </is>
      </c>
      <c r="G2" s="4" t="inlineStr">
        <is>
          <t>Y</t>
        </is>
      </c>
    </row>
    <row r="3">
      <c r="A3" s="4" t="inlineStr">
        <is>
          <t>Revenue growth 2025</t>
        </is>
      </c>
      <c r="B3" s="5" t="n">
        <v>0.11</v>
      </c>
      <c r="C3" s="6" t="n">
        <v>0.15</v>
      </c>
      <c r="D3" s="7" t="n">
        <v>0.06</v>
      </c>
      <c r="E3" s="4" t="inlineStr">
        <is>
          <t>%</t>
        </is>
      </c>
      <c r="F3" s="4" t="inlineStr">
        <is>
          <t>Phục hồi ICT/CE + BHX tăng trưởng</t>
        </is>
      </c>
      <c r="G3" s="4" t="inlineStr">
        <is>
          <t>Y</t>
        </is>
      </c>
    </row>
    <row r="4">
      <c r="A4" s="4" t="inlineStr">
        <is>
          <t>Revenue growth 2026</t>
        </is>
      </c>
      <c r="B4" s="5" t="n">
        <v>0.09</v>
      </c>
      <c r="C4" s="6" t="n">
        <v>0.12</v>
      </c>
      <c r="D4" s="7" t="n">
        <v>0.05</v>
      </c>
      <c r="E4" s="4" t="inlineStr">
        <is>
          <t>%</t>
        </is>
      </c>
      <c r="F4" s="4" t="inlineStr"/>
      <c r="G4" s="4" t="inlineStr">
        <is>
          <t>Y</t>
        </is>
      </c>
    </row>
    <row r="5">
      <c r="A5" s="4" t="inlineStr">
        <is>
          <t>Revenue growth 2027</t>
        </is>
      </c>
      <c r="B5" s="5" t="n">
        <v>0.07000000000000001</v>
      </c>
      <c r="C5" s="6" t="n">
        <v>0.1</v>
      </c>
      <c r="D5" s="7" t="n">
        <v>0.04</v>
      </c>
      <c r="E5" s="4" t="inlineStr">
        <is>
          <t>%</t>
        </is>
      </c>
      <c r="F5" s="4" t="inlineStr"/>
      <c r="G5" s="4" t="inlineStr">
        <is>
          <t>Y</t>
        </is>
      </c>
    </row>
    <row r="6">
      <c r="A6" s="4" t="inlineStr">
        <is>
          <t>Revenue growth 2028</t>
        </is>
      </c>
      <c r="B6" s="5" t="n">
        <v>0.05</v>
      </c>
      <c r="C6" s="6" t="n">
        <v>0.08</v>
      </c>
      <c r="D6" s="7" t="n">
        <v>0.03</v>
      </c>
      <c r="E6" s="4" t="inlineStr">
        <is>
          <t>%</t>
        </is>
      </c>
      <c r="F6" s="4" t="inlineStr"/>
      <c r="G6" s="4" t="inlineStr">
        <is>
          <t>Y</t>
        </is>
      </c>
    </row>
    <row r="7">
      <c r="A7" s="4" t="inlineStr">
        <is>
          <t>Revenue growth 2029</t>
        </is>
      </c>
      <c r="B7" s="5" t="n">
        <v>0.04</v>
      </c>
      <c r="C7" s="6" t="n">
        <v>0.06</v>
      </c>
      <c r="D7" s="7" t="n">
        <v>0.02</v>
      </c>
      <c r="E7" s="4" t="inlineStr">
        <is>
          <t>%</t>
        </is>
      </c>
      <c r="F7" s="4" t="inlineStr"/>
      <c r="G7" s="4" t="inlineStr">
        <is>
          <t>Y</t>
        </is>
      </c>
    </row>
    <row r="8">
      <c r="A8" s="4" t="inlineStr">
        <is>
          <t>EBIT margin 2024</t>
        </is>
      </c>
      <c r="B8" s="5" t="n">
        <v>0.035</v>
      </c>
      <c r="C8" s="6" t="n">
        <v>0.035</v>
      </c>
      <c r="D8" s="7" t="n">
        <v>0.035</v>
      </c>
      <c r="E8" s="4" t="inlineStr">
        <is>
          <t>%</t>
        </is>
      </c>
      <c r="F8" s="4" t="inlineStr">
        <is>
          <t>Normalized placeholder</t>
        </is>
      </c>
      <c r="G8" s="4" t="inlineStr">
        <is>
          <t>Y</t>
        </is>
      </c>
    </row>
    <row r="9">
      <c r="A9" s="4" t="inlineStr">
        <is>
          <t>EBIT margin 2025</t>
        </is>
      </c>
      <c r="B9" s="5" t="n">
        <v>0.04</v>
      </c>
      <c r="C9" s="6" t="n">
        <v>0.045</v>
      </c>
      <c r="D9" s="7" t="n">
        <v>0.032</v>
      </c>
      <c r="E9" s="4" t="inlineStr">
        <is>
          <t>%</t>
        </is>
      </c>
      <c r="F9" s="4" t="inlineStr">
        <is>
          <t>BHX scale + DMX recovery</t>
        </is>
      </c>
      <c r="G9" s="4" t="inlineStr">
        <is>
          <t>Y</t>
        </is>
      </c>
    </row>
    <row r="10">
      <c r="A10" s="4" t="inlineStr">
        <is>
          <t>EBIT margin 2026</t>
        </is>
      </c>
      <c r="B10" s="5" t="n">
        <v>0.045</v>
      </c>
      <c r="C10" s="6" t="n">
        <v>0.052</v>
      </c>
      <c r="D10" s="7" t="n">
        <v>0.035</v>
      </c>
      <c r="E10" s="4" t="inlineStr">
        <is>
          <t>%</t>
        </is>
      </c>
      <c r="F10" s="4" t="inlineStr"/>
      <c r="G10" s="4" t="inlineStr">
        <is>
          <t>Y</t>
        </is>
      </c>
    </row>
    <row r="11">
      <c r="A11" s="4" t="inlineStr">
        <is>
          <t>EBIT margin 2027</t>
        </is>
      </c>
      <c r="B11" s="5" t="n">
        <v>0.048</v>
      </c>
      <c r="C11" s="6" t="n">
        <v>0.056</v>
      </c>
      <c r="D11" s="7" t="n">
        <v>0.038</v>
      </c>
      <c r="E11" s="4" t="inlineStr">
        <is>
          <t>%</t>
        </is>
      </c>
      <c r="F11" s="4" t="inlineStr"/>
      <c r="G11" s="4" t="inlineStr">
        <is>
          <t>Y</t>
        </is>
      </c>
    </row>
    <row r="12">
      <c r="A12" s="4" t="inlineStr">
        <is>
          <t>EBIT margin 2028</t>
        </is>
      </c>
      <c r="B12" s="5" t="n">
        <v>0.05</v>
      </c>
      <c r="C12" s="6" t="n">
        <v>0.058</v>
      </c>
      <c r="D12" s="7" t="n">
        <v>0.04</v>
      </c>
      <c r="E12" s="4" t="inlineStr">
        <is>
          <t>%</t>
        </is>
      </c>
      <c r="F12" s="4" t="inlineStr"/>
      <c r="G12" s="4" t="inlineStr">
        <is>
          <t>Y</t>
        </is>
      </c>
    </row>
    <row r="13">
      <c r="A13" s="4" t="inlineStr">
        <is>
          <t>EBIT margin 2029</t>
        </is>
      </c>
      <c r="B13" s="5" t="n">
        <v>0.05</v>
      </c>
      <c r="C13" s="6" t="n">
        <v>0.06</v>
      </c>
      <c r="D13" s="7" t="n">
        <v>0.04</v>
      </c>
      <c r="E13" s="4" t="inlineStr">
        <is>
          <t>%</t>
        </is>
      </c>
      <c r="F13" s="4" t="inlineStr"/>
      <c r="G13" s="4" t="inlineStr">
        <is>
          <t>Y</t>
        </is>
      </c>
    </row>
    <row r="14">
      <c r="A14" s="4" t="inlineStr">
        <is>
          <t>Tax rate</t>
        </is>
      </c>
      <c r="B14" s="5" t="n">
        <v>0.2</v>
      </c>
      <c r="C14" s="6" t="n">
        <v>0.2</v>
      </c>
      <c r="D14" s="7" t="n">
        <v>0.2</v>
      </c>
      <c r="E14" s="4" t="inlineStr">
        <is>
          <t>%</t>
        </is>
      </c>
      <c r="F14" s="4" t="inlineStr">
        <is>
          <t>VN corporate tax</t>
        </is>
      </c>
      <c r="G14" s="4" t="inlineStr">
        <is>
          <t>Y</t>
        </is>
      </c>
    </row>
    <row r="15">
      <c r="A15" s="4" t="inlineStr">
        <is>
          <t>D&amp;A / Revenue</t>
        </is>
      </c>
      <c r="B15" s="5" t="n">
        <v>0.015</v>
      </c>
      <c r="C15" s="6" t="n">
        <v>0.014</v>
      </c>
      <c r="D15" s="7" t="n">
        <v>0.016</v>
      </c>
      <c r="E15" s="4" t="inlineStr">
        <is>
          <t>%</t>
        </is>
      </c>
      <c r="F15" s="4" t="inlineStr"/>
      <c r="G15" s="4" t="inlineStr">
        <is>
          <t>Y</t>
        </is>
      </c>
    </row>
    <row r="16">
      <c r="A16" s="4" t="inlineStr">
        <is>
          <t>Capex / Revenue</t>
        </is>
      </c>
      <c r="B16" s="5" t="n">
        <v>0.018</v>
      </c>
      <c r="C16" s="6" t="n">
        <v>0.016</v>
      </c>
      <c r="D16" s="7" t="n">
        <v>0.022</v>
      </c>
      <c r="E16" s="4" t="inlineStr">
        <is>
          <t>%</t>
        </is>
      </c>
      <c r="F16" s="4" t="inlineStr">
        <is>
          <t>Store expansion + IT/logistics</t>
        </is>
      </c>
      <c r="G16" s="4" t="inlineStr">
        <is>
          <t>Y</t>
        </is>
      </c>
    </row>
    <row r="17">
      <c r="A17" s="4" t="inlineStr">
        <is>
          <t>NWC / Revenue change</t>
        </is>
      </c>
      <c r="B17" s="5" t="n">
        <v>0.08</v>
      </c>
      <c r="C17" s="6" t="n">
        <v>0.06</v>
      </c>
      <c r="D17" s="7" t="n">
        <v>0.1</v>
      </c>
      <c r="E17" s="4" t="inlineStr">
        <is>
          <t>%</t>
        </is>
      </c>
      <c r="F17" s="4" t="inlineStr">
        <is>
          <t>Working capital intensity</t>
        </is>
      </c>
      <c r="G17" s="4" t="inlineStr">
        <is>
          <t>Y</t>
        </is>
      </c>
    </row>
    <row r="18">
      <c r="A18" s="4" t="inlineStr">
        <is>
          <t>WACC</t>
        </is>
      </c>
      <c r="B18" s="5" t="n">
        <v>0.105</v>
      </c>
      <c r="C18" s="6" t="n">
        <v>0.095</v>
      </c>
      <c r="D18" s="7" t="n">
        <v>0.115</v>
      </c>
      <c r="E18" s="4" t="inlineStr">
        <is>
          <t>%</t>
        </is>
      </c>
      <c r="F18" s="4" t="inlineStr">
        <is>
          <t>Cost of equity/debt placeholder</t>
        </is>
      </c>
      <c r="G18" s="4" t="inlineStr">
        <is>
          <t>Y</t>
        </is>
      </c>
    </row>
    <row r="19">
      <c r="A19" s="4" t="inlineStr">
        <is>
          <t>Terminal growth</t>
        </is>
      </c>
      <c r="B19" s="5" t="n">
        <v>0.035</v>
      </c>
      <c r="C19" s="6" t="n">
        <v>0.04</v>
      </c>
      <c r="D19" s="7" t="n">
        <v>0.025</v>
      </c>
      <c r="E19" s="4" t="inlineStr">
        <is>
          <t>%</t>
        </is>
      </c>
      <c r="F19" s="4" t="inlineStr">
        <is>
          <t>Long-run VN nominal growth</t>
        </is>
      </c>
      <c r="G19" s="4" t="inlineStr">
        <is>
          <t>Y</t>
        </is>
      </c>
    </row>
    <row r="20">
      <c r="A20" s="4" t="inlineStr">
        <is>
          <t>Net debt</t>
        </is>
      </c>
      <c r="B20" s="5" t="n">
        <v>6000</v>
      </c>
      <c r="C20" s="6" t="n">
        <v>4000</v>
      </c>
      <c r="D20" s="7" t="n">
        <v>8000</v>
      </c>
      <c r="E20" s="4" t="inlineStr">
        <is>
          <t>VNDbn</t>
        </is>
      </c>
      <c r="F20" s="4" t="inlineStr">
        <is>
          <t>Debt - cash, placeholder</t>
        </is>
      </c>
      <c r="G20" s="4" t="inlineStr">
        <is>
          <t>Y</t>
        </is>
      </c>
    </row>
    <row r="21">
      <c r="A21" s="4" t="inlineStr">
        <is>
          <t>Shares outstanding</t>
        </is>
      </c>
      <c r="B21" s="5" t="n">
        <v>1463</v>
      </c>
      <c r="C21" s="6" t="n">
        <v>1463</v>
      </c>
      <c r="D21" s="7" t="n">
        <v>1463</v>
      </c>
      <c r="E21" s="4" t="inlineStr">
        <is>
          <t>mn shares</t>
        </is>
      </c>
      <c r="F21" s="4" t="inlineStr">
        <is>
          <t>Cập nhật theo báo cáo</t>
        </is>
      </c>
      <c r="G21" s="4" t="inlineStr">
        <is>
          <t>Y</t>
        </is>
      </c>
    </row>
    <row r="22">
      <c r="A22" s="4" t="inlineStr">
        <is>
          <t>TGDD EV/Sales</t>
        </is>
      </c>
      <c r="B22" s="5" t="n">
        <v>0.35</v>
      </c>
      <c r="C22" s="6" t="n">
        <v>0.45</v>
      </c>
      <c r="D22" s="7" t="n">
        <v>0.25</v>
      </c>
      <c r="E22" s="4" t="inlineStr">
        <is>
          <t>x</t>
        </is>
      </c>
      <c r="F22" s="4" t="inlineStr">
        <is>
          <t>Mobile retail mature</t>
        </is>
      </c>
      <c r="G22" s="4" t="inlineStr">
        <is>
          <t>Y</t>
        </is>
      </c>
    </row>
    <row r="23">
      <c r="A23" s="4" t="inlineStr">
        <is>
          <t>DMX EV/Sales pre-IPO</t>
        </is>
      </c>
      <c r="B23" s="5" t="n">
        <v>0.45</v>
      </c>
      <c r="C23" s="6" t="n">
        <v>0.6</v>
      </c>
      <c r="D23" s="7" t="n">
        <v>0.35</v>
      </c>
      <c r="E23" s="4" t="inlineStr">
        <is>
          <t>x</t>
        </is>
      </c>
      <c r="F23" s="4" t="inlineStr">
        <is>
          <t>Consumer electronics chain</t>
        </is>
      </c>
      <c r="G23" s="4" t="inlineStr">
        <is>
          <t>Y</t>
        </is>
      </c>
    </row>
    <row r="24">
      <c r="A24" s="4" t="inlineStr">
        <is>
          <t>BHX EV/Sales</t>
        </is>
      </c>
      <c r="B24" s="5" t="n">
        <v>0.55</v>
      </c>
      <c r="C24" s="6" t="n">
        <v>0.8</v>
      </c>
      <c r="D24" s="7" t="n">
        <v>0.35</v>
      </c>
      <c r="E24" s="4" t="inlineStr">
        <is>
          <t>x</t>
        </is>
      </c>
      <c r="F24" s="4" t="inlineStr">
        <is>
          <t>Grocery chain optionality</t>
        </is>
      </c>
      <c r="G24" s="4" t="inlineStr">
        <is>
          <t>Y</t>
        </is>
      </c>
    </row>
    <row r="25">
      <c r="A25" s="4" t="inlineStr">
        <is>
          <t>Other EV</t>
        </is>
      </c>
      <c r="B25" s="5" t="n">
        <v>2000</v>
      </c>
      <c r="C25" s="6" t="n">
        <v>4000</v>
      </c>
      <c r="D25" s="7" t="n">
        <v>1000</v>
      </c>
      <c r="E25" s="4" t="inlineStr">
        <is>
          <t>VNDbn</t>
        </is>
      </c>
      <c r="F25" s="4" t="inlineStr">
        <is>
          <t>An Khang/AVAKids/etc.</t>
        </is>
      </c>
      <c r="G25" s="4" t="inlineStr">
        <is>
          <t>Y</t>
        </is>
      </c>
    </row>
    <row r="26">
      <c r="A26" s="4" t="inlineStr">
        <is>
          <t>ĐMX IPO stake sold</t>
        </is>
      </c>
      <c r="B26" s="5" t="n">
        <v>0.2</v>
      </c>
      <c r="C26" s="6" t="n">
        <v>0.25</v>
      </c>
      <c r="D26" s="7" t="n">
        <v>0.15</v>
      </c>
      <c r="E26" s="4" t="inlineStr">
        <is>
          <t>%</t>
        </is>
      </c>
      <c r="F26" s="4" t="inlineStr">
        <is>
          <t>Tỷ lệ bán trong IPO</t>
        </is>
      </c>
      <c r="G26" s="4" t="inlineStr">
        <is>
          <t>Y</t>
        </is>
      </c>
    </row>
    <row r="27">
      <c r="A27" s="4" t="inlineStr">
        <is>
          <t>ĐMX post-money valuation</t>
        </is>
      </c>
      <c r="B27" s="5" t="n">
        <v>45000</v>
      </c>
      <c r="C27" s="6" t="n">
        <v>60000</v>
      </c>
      <c r="D27" s="7" t="n">
        <v>32000</v>
      </c>
      <c r="E27" s="4" t="inlineStr">
        <is>
          <t>VNDbn</t>
        </is>
      </c>
      <c r="F27" s="4" t="inlineStr">
        <is>
          <t>Giả định định giá ĐMX khi IPO</t>
        </is>
      </c>
      <c r="G27" s="4" t="inlineStr">
        <is>
          <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8" t="inlineStr">
        <is>
          <t>VNDbn</t>
        </is>
      </c>
      <c r="B1" s="8" t="inlineStr">
        <is>
          <t>2020</t>
        </is>
      </c>
      <c r="C1" s="8" t="inlineStr">
        <is>
          <t>2021</t>
        </is>
      </c>
      <c r="D1" s="8" t="inlineStr">
        <is>
          <t>2022</t>
        </is>
      </c>
      <c r="E1" s="8" t="inlineStr">
        <is>
          <t>2023</t>
        </is>
      </c>
      <c r="F1" s="8" t="inlineStr">
        <is>
          <t>2024E/placeholder</t>
        </is>
      </c>
    </row>
    <row r="2">
      <c r="A2" s="4" t="inlineStr">
        <is>
          <t>Revenue</t>
        </is>
      </c>
      <c r="B2" s="4" t="n">
        <v>108546</v>
      </c>
      <c r="C2" s="4" t="n">
        <v>122958</v>
      </c>
      <c r="D2" s="4" t="n">
        <v>133405</v>
      </c>
      <c r="E2" s="4" t="n">
        <v>118280</v>
      </c>
      <c r="F2" s="4" t="n">
        <v>134000</v>
      </c>
    </row>
    <row r="3">
      <c r="A3" s="4" t="inlineStr">
        <is>
          <t>Gross profit</t>
        </is>
      </c>
      <c r="B3" s="4" t="n">
        <v>24600</v>
      </c>
      <c r="C3" s="4" t="n">
        <v>27000</v>
      </c>
      <c r="D3" s="4" t="n">
        <v>30100</v>
      </c>
      <c r="E3" s="4" t="n">
        <v>24500</v>
      </c>
      <c r="F3" s="4" t="n">
        <v>30000</v>
      </c>
    </row>
    <row r="4">
      <c r="A4" s="4" t="inlineStr">
        <is>
          <t>EBIT</t>
        </is>
      </c>
      <c r="B4" s="4" t="n">
        <v>5600</v>
      </c>
      <c r="C4" s="4" t="n">
        <v>6200</v>
      </c>
      <c r="D4" s="4" t="n">
        <v>6400</v>
      </c>
      <c r="E4" s="4" t="n">
        <v>1600</v>
      </c>
      <c r="F4" s="4" t="n">
        <v>4700</v>
      </c>
    </row>
    <row r="5">
      <c r="A5" s="4" t="inlineStr">
        <is>
          <t>NPAT-MI</t>
        </is>
      </c>
      <c r="B5" s="4" t="n">
        <v>3920</v>
      </c>
      <c r="C5" s="4" t="n">
        <v>4900</v>
      </c>
      <c r="D5" s="4" t="n">
        <v>4100</v>
      </c>
      <c r="E5" s="4" t="n">
        <v>168</v>
      </c>
      <c r="F5" s="4" t="n">
        <v>3600</v>
      </c>
    </row>
    <row r="6">
      <c r="A6" s="4" t="inlineStr">
        <is>
          <t>Total assets</t>
        </is>
      </c>
      <c r="B6" s="4" t="n">
        <v>46000</v>
      </c>
      <c r="C6" s="4" t="n">
        <v>59000</v>
      </c>
      <c r="D6" s="4" t="n">
        <v>62000</v>
      </c>
      <c r="E6" s="4" t="n">
        <v>60000</v>
      </c>
      <c r="F6" s="4" t="n">
        <v>65000</v>
      </c>
    </row>
    <row r="7">
      <c r="A7" s="4" t="inlineStr">
        <is>
          <t>Equity</t>
        </is>
      </c>
      <c r="B7" s="4" t="n">
        <v>17000</v>
      </c>
      <c r="C7" s="4" t="n">
        <v>22000</v>
      </c>
      <c r="D7" s="4" t="n">
        <v>25000</v>
      </c>
      <c r="E7" s="4" t="n">
        <v>24500</v>
      </c>
      <c r="F7" s="4" t="n">
        <v>27500</v>
      </c>
    </row>
    <row r="8">
      <c r="A8" s="4" t="inlineStr">
        <is>
          <t>Net debt</t>
        </is>
      </c>
      <c r="B8" s="4" t="n">
        <v>5000</v>
      </c>
      <c r="C8" s="4" t="n">
        <v>7000</v>
      </c>
      <c r="D8" s="4" t="n">
        <v>6500</v>
      </c>
      <c r="E8" s="4" t="n">
        <v>8000</v>
      </c>
      <c r="F8" s="4" t="n">
        <v>6000</v>
      </c>
    </row>
    <row r="9">
      <c r="A9" s="4" t="inlineStr">
        <is>
          <t>BHX revenue</t>
        </is>
      </c>
      <c r="B9" s="4" t="n">
        <v>21000</v>
      </c>
      <c r="C9" s="4" t="n">
        <v>28000</v>
      </c>
      <c r="D9" s="4" t="n">
        <v>30000</v>
      </c>
      <c r="E9" s="4" t="n">
        <v>31500</v>
      </c>
      <c r="F9" s="4" t="n">
        <v>40000</v>
      </c>
    </row>
    <row r="10">
      <c r="A10" s="4" t="inlineStr">
        <is>
          <t>BHX EBIT margin</t>
        </is>
      </c>
      <c r="B10" s="4" t="n">
        <v>-0.08</v>
      </c>
      <c r="C10" s="4" t="n">
        <v>-0.06</v>
      </c>
      <c r="D10" s="4" t="n">
        <v>-0.04</v>
      </c>
      <c r="E10" s="4" t="n">
        <v>-0.01</v>
      </c>
      <c r="F10" s="4" t="n">
        <v>0.01</v>
      </c>
    </row>
    <row r="11">
      <c r="A11" s="2" t="n"/>
      <c r="B11" s="2" t="n"/>
      <c r="C11" s="2" t="n"/>
      <c r="D11" s="2" t="n"/>
      <c r="E11" s="2" t="n"/>
      <c r="F11" s="2" t="n"/>
    </row>
    <row r="12">
      <c r="A12" s="2" t="n"/>
      <c r="B12" s="2" t="n"/>
      <c r="C12" s="2" t="n"/>
      <c r="D12" s="2" t="n"/>
      <c r="E12" s="2" t="n"/>
      <c r="F12" s="2" t="n"/>
    </row>
    <row r="13">
      <c r="A13" s="2" t="inlineStr">
        <is>
          <t>Note</t>
        </is>
      </c>
      <c r="B13" s="2" t="inlineStr">
        <is>
          <t>Các số lịch sử trong bản này là khung/placeholder để model chạy; cần cập nhật theo BCTC audited/quarterly chính thức của MWG.</t>
        </is>
      </c>
      <c r="C13" s="2" t="n"/>
      <c r="D13" s="2" t="n"/>
      <c r="E13" s="2" t="n"/>
      <c r="F13"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8" t="inlineStr">
        <is>
          <t>Line</t>
        </is>
      </c>
      <c r="B1" s="8" t="inlineStr">
        <is>
          <t>2024A</t>
        </is>
      </c>
      <c r="C1" s="8" t="inlineStr">
        <is>
          <t>2025E</t>
        </is>
      </c>
      <c r="D1" s="8" t="inlineStr">
        <is>
          <t>2026E</t>
        </is>
      </c>
      <c r="E1" s="8" t="inlineStr">
        <is>
          <t>2027E</t>
        </is>
      </c>
      <c r="F1" s="8" t="inlineStr">
        <is>
          <t>2028E</t>
        </is>
      </c>
      <c r="G1" s="8" t="inlineStr">
        <is>
          <t>2029E</t>
        </is>
      </c>
      <c r="H1" s="8" t="inlineStr">
        <is>
          <t>Terminal</t>
        </is>
      </c>
    </row>
    <row r="2">
      <c r="A2" s="4" t="inlineStr">
        <is>
          <t>Revenue</t>
        </is>
      </c>
      <c r="B2" s="4">
        <f>Assumptions!B2</f>
        <v/>
      </c>
      <c r="C2" s="4">
        <f>B2*(1+Assumptions!B3)</f>
        <v/>
      </c>
      <c r="D2" s="4">
        <f>C2*(1+Assumptions!B4)</f>
        <v/>
      </c>
      <c r="E2" s="4">
        <f>D2*(1+Assumptions!B5)</f>
        <v/>
      </c>
      <c r="F2" s="4">
        <f>E2*(1+Assumptions!B6)</f>
        <v/>
      </c>
      <c r="G2" s="4">
        <f>F2*(1+Assumptions!B7)</f>
        <v/>
      </c>
      <c r="H2" s="4">
        <f>G2*(1+Assumptions!B19)</f>
        <v/>
      </c>
    </row>
    <row r="3">
      <c r="A3" s="4" t="inlineStr">
        <is>
          <t>Growth</t>
        </is>
      </c>
      <c r="B3" s="4" t="inlineStr"/>
      <c r="C3" s="4">
        <f>C2/B2-1</f>
        <v/>
      </c>
      <c r="D3" s="4">
        <f>D2/C2-1</f>
        <v/>
      </c>
      <c r="E3" s="4">
        <f>E2/D2-1</f>
        <v/>
      </c>
      <c r="F3" s="4">
        <f>F2/E2-1</f>
        <v/>
      </c>
      <c r="G3" s="4">
        <f>G2/F2-1</f>
        <v/>
      </c>
      <c r="H3" s="4" t="n"/>
    </row>
    <row r="4">
      <c r="A4" s="4" t="inlineStr">
        <is>
          <t>EBIT margin</t>
        </is>
      </c>
      <c r="B4" s="4">
        <f>Assumptions!B8</f>
        <v/>
      </c>
      <c r="C4" s="4">
        <f>Assumptions!B9</f>
        <v/>
      </c>
      <c r="D4" s="4">
        <f>Assumptions!B10</f>
        <v/>
      </c>
      <c r="E4" s="4">
        <f>Assumptions!B11</f>
        <v/>
      </c>
      <c r="F4" s="4">
        <f>Assumptions!B12</f>
        <v/>
      </c>
      <c r="G4" s="4">
        <f>Assumptions!B13</f>
        <v/>
      </c>
      <c r="H4" s="4" t="n"/>
    </row>
    <row r="5">
      <c r="A5" s="4" t="inlineStr">
        <is>
          <t>EBIT</t>
        </is>
      </c>
      <c r="B5" s="4">
        <f>B2*B4</f>
        <v/>
      </c>
      <c r="C5" s="4">
        <f>C2*C4</f>
        <v/>
      </c>
      <c r="D5" s="4">
        <f>D2*D4</f>
        <v/>
      </c>
      <c r="E5" s="4">
        <f>E2*E4</f>
        <v/>
      </c>
      <c r="F5" s="4">
        <f>F2*F4</f>
        <v/>
      </c>
      <c r="G5" s="4">
        <f>G2*G4</f>
        <v/>
      </c>
      <c r="H5" s="4" t="n"/>
    </row>
    <row r="6">
      <c r="A6" s="4" t="inlineStr">
        <is>
          <t>Tax</t>
        </is>
      </c>
      <c r="B6" s="4">
        <f>B5*Assumptions!B14</f>
        <v/>
      </c>
      <c r="C6" s="4">
        <f>C5*Assumptions!B14</f>
        <v/>
      </c>
      <c r="D6" s="4">
        <f>D5*Assumptions!B14</f>
        <v/>
      </c>
      <c r="E6" s="4">
        <f>E5*Assumptions!B14</f>
        <v/>
      </c>
      <c r="F6" s="4">
        <f>F5*Assumptions!B14</f>
        <v/>
      </c>
      <c r="G6" s="4">
        <f>G5*Assumptions!B14</f>
        <v/>
      </c>
      <c r="H6" s="4" t="n"/>
    </row>
    <row r="7">
      <c r="A7" s="4" t="inlineStr">
        <is>
          <t>NOPAT</t>
        </is>
      </c>
      <c r="B7" s="4">
        <f>B5-B6</f>
        <v/>
      </c>
      <c r="C7" s="4">
        <f>C5-C6</f>
        <v/>
      </c>
      <c r="D7" s="4">
        <f>D5-D6</f>
        <v/>
      </c>
      <c r="E7" s="4">
        <f>E5-E6</f>
        <v/>
      </c>
      <c r="F7" s="4">
        <f>F5-F6</f>
        <v/>
      </c>
      <c r="G7" s="4">
        <f>G5-G6</f>
        <v/>
      </c>
      <c r="H7" s="4" t="n"/>
    </row>
    <row r="8">
      <c r="A8" s="4" t="inlineStr">
        <is>
          <t>D&amp;A</t>
        </is>
      </c>
      <c r="B8" s="4">
        <f>B2*Assumptions!B15</f>
        <v/>
      </c>
      <c r="C8" s="4">
        <f>C2*Assumptions!B15</f>
        <v/>
      </c>
      <c r="D8" s="4">
        <f>D2*Assumptions!B15</f>
        <v/>
      </c>
      <c r="E8" s="4">
        <f>E2*Assumptions!B15</f>
        <v/>
      </c>
      <c r="F8" s="4">
        <f>F2*Assumptions!B15</f>
        <v/>
      </c>
      <c r="G8" s="4">
        <f>G2*Assumptions!B15</f>
        <v/>
      </c>
      <c r="H8" s="4" t="n"/>
    </row>
    <row r="9">
      <c r="A9" s="4" t="inlineStr">
        <is>
          <t>Capex</t>
        </is>
      </c>
      <c r="B9" s="4">
        <f>-B2*Assumptions!B16</f>
        <v/>
      </c>
      <c r="C9" s="4">
        <f>-C2*Assumptions!B16</f>
        <v/>
      </c>
      <c r="D9" s="4">
        <f>-D2*Assumptions!B16</f>
        <v/>
      </c>
      <c r="E9" s="4">
        <f>-E2*Assumptions!B16</f>
        <v/>
      </c>
      <c r="F9" s="4">
        <f>-F2*Assumptions!B16</f>
        <v/>
      </c>
      <c r="G9" s="4">
        <f>-G2*Assumptions!B16</f>
        <v/>
      </c>
      <c r="H9" s="4" t="n"/>
    </row>
    <row r="10">
      <c r="A10" s="4" t="inlineStr">
        <is>
          <t>Change in NWC</t>
        </is>
      </c>
      <c r="B10" s="4" t="n">
        <v>0</v>
      </c>
      <c r="C10" s="4">
        <f>-(C2-B2)*Assumptions!B17</f>
        <v/>
      </c>
      <c r="D10" s="4">
        <f>-(D2-C2)*Assumptions!B17</f>
        <v/>
      </c>
      <c r="E10" s="4">
        <f>-(E2-D2)*Assumptions!B17</f>
        <v/>
      </c>
      <c r="F10" s="4">
        <f>-(F2-E2)*Assumptions!B17</f>
        <v/>
      </c>
      <c r="G10" s="4">
        <f>-(G2-F2)*Assumptions!B17</f>
        <v/>
      </c>
      <c r="H10" s="4" t="n"/>
    </row>
    <row r="11">
      <c r="A11" s="4" t="inlineStr">
        <is>
          <t>FCFF</t>
        </is>
      </c>
      <c r="B11" s="4">
        <f>B7+B8+B9+B10</f>
        <v/>
      </c>
      <c r="C11" s="4">
        <f>C7+C8+C9+C10</f>
        <v/>
      </c>
      <c r="D11" s="4">
        <f>D7+D8+D9+D10</f>
        <v/>
      </c>
      <c r="E11" s="4">
        <f>E7+E8+E9+E10</f>
        <v/>
      </c>
      <c r="F11" s="4">
        <f>F7+F8+F9+F10</f>
        <v/>
      </c>
      <c r="G11" s="4">
        <f>G7+G8+G9+G10</f>
        <v/>
      </c>
      <c r="H11" s="4">
        <f>G11*(1+Assumptions!B19)/(Assumptions!B18-Assumptions!B19)</f>
        <v/>
      </c>
    </row>
    <row r="12">
      <c r="A12" s="4" t="inlineStr">
        <is>
          <t>Discount factor</t>
        </is>
      </c>
      <c r="B12" s="4" t="n"/>
      <c r="C12" s="4">
        <f>1/(1+Assumptions!B18)^1</f>
        <v/>
      </c>
      <c r="D12" s="4">
        <f>1/(1+Assumptions!B18)^2</f>
        <v/>
      </c>
      <c r="E12" s="4">
        <f>1/(1+Assumptions!B18)^3</f>
        <v/>
      </c>
      <c r="F12" s="4">
        <f>1/(1+Assumptions!B18)^4</f>
        <v/>
      </c>
      <c r="G12" s="4">
        <f>1/(1+Assumptions!B18)^5</f>
        <v/>
      </c>
      <c r="H12" s="4">
        <f>1/(1+Assumptions!B18)^5</f>
        <v/>
      </c>
    </row>
    <row r="13">
      <c r="A13" s="4" t="inlineStr">
        <is>
          <t>PV FCFF</t>
        </is>
      </c>
      <c r="B13" s="4" t="n"/>
      <c r="C13" s="4">
        <f>C11*C12</f>
        <v/>
      </c>
      <c r="D13" s="4">
        <f>D11*D12</f>
        <v/>
      </c>
      <c r="E13" s="4">
        <f>E11*E12</f>
        <v/>
      </c>
      <c r="F13" s="4">
        <f>F11*F12</f>
        <v/>
      </c>
      <c r="G13" s="4">
        <f>G11*G12</f>
        <v/>
      </c>
      <c r="H13" s="4">
        <f>H11*H12</f>
        <v/>
      </c>
    </row>
    <row r="14">
      <c r="A14" s="4" t="n"/>
      <c r="B14" s="4" t="n"/>
      <c r="C14" s="4" t="n"/>
      <c r="D14" s="4" t="n"/>
      <c r="E14" s="4" t="n"/>
      <c r="F14" s="4" t="n"/>
      <c r="G14" s="4" t="n"/>
      <c r="H14" s="4" t="n"/>
    </row>
    <row r="15">
      <c r="A15" s="4" t="inlineStr">
        <is>
          <t>Enterprise value</t>
        </is>
      </c>
      <c r="B15" s="4">
        <f>SUM(C13:H13)</f>
        <v/>
      </c>
      <c r="C15" s="4" t="n"/>
      <c r="D15" s="4" t="n"/>
      <c r="E15" s="4" t="n"/>
      <c r="F15" s="4" t="n"/>
      <c r="G15" s="4" t="n"/>
      <c r="H15" s="4" t="n"/>
    </row>
    <row r="16">
      <c r="A16" s="4" t="inlineStr">
        <is>
          <t>Net debt</t>
        </is>
      </c>
      <c r="B16" s="4">
        <f>Assumptions!B20</f>
        <v/>
      </c>
      <c r="C16" s="4" t="n"/>
      <c r="D16" s="4" t="n"/>
      <c r="E16" s="4" t="n"/>
      <c r="F16" s="4" t="n"/>
      <c r="G16" s="4" t="n"/>
      <c r="H16" s="4" t="n"/>
    </row>
    <row r="17">
      <c r="A17" s="4" t="inlineStr">
        <is>
          <t>Equity value</t>
        </is>
      </c>
      <c r="B17" s="4">
        <f>B15-B16</f>
        <v/>
      </c>
      <c r="C17" s="4" t="n"/>
      <c r="D17" s="4" t="n"/>
      <c r="E17" s="4" t="n"/>
      <c r="F17" s="4" t="n"/>
      <c r="G17" s="4" t="n"/>
      <c r="H17" s="4" t="n"/>
    </row>
    <row r="18">
      <c r="A18" s="4" t="inlineStr">
        <is>
          <t>Shares mn</t>
        </is>
      </c>
      <c r="B18" s="4">
        <f>Assumptions!B21</f>
        <v/>
      </c>
      <c r="C18" s="4" t="n"/>
      <c r="D18" s="4" t="n"/>
      <c r="E18" s="4" t="n"/>
      <c r="F18" s="4" t="n"/>
      <c r="G18" s="4" t="n"/>
      <c r="H18" s="4" t="n"/>
    </row>
    <row r="19">
      <c r="A19" s="4" t="inlineStr">
        <is>
          <t>Value / share VND</t>
        </is>
      </c>
      <c r="B19" s="4">
        <f>B17*1000/B18</f>
        <v/>
      </c>
      <c r="C19" s="4" t="n"/>
      <c r="D19" s="4" t="n"/>
      <c r="E19" s="4" t="n"/>
      <c r="F19" s="4" t="n"/>
      <c r="G19" s="4" t="n"/>
      <c r="H19"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s>
  <sheetData>
    <row r="1">
      <c r="A1" s="8" t="inlineStr">
        <is>
          <t>Segment</t>
        </is>
      </c>
      <c r="B1" s="8" t="inlineStr">
        <is>
          <t>Revenue assumption VNDbn</t>
        </is>
      </c>
      <c r="C1" s="8" t="inlineStr">
        <is>
          <t>Multiple</t>
        </is>
      </c>
      <c r="D1" s="8" t="inlineStr">
        <is>
          <t>EV VNDbn</t>
        </is>
      </c>
      <c r="E1" s="8" t="inlineStr">
        <is>
          <t>Ownership</t>
        </is>
      </c>
      <c r="F1" s="8" t="inlineStr">
        <is>
          <t>Equity attributable</t>
        </is>
      </c>
      <c r="G1" s="8" t="inlineStr">
        <is>
          <t>Notes</t>
        </is>
      </c>
    </row>
    <row r="2">
      <c r="A2" s="4" t="inlineStr">
        <is>
          <t>TGDD/mobile</t>
        </is>
      </c>
      <c r="B2" s="4" t="n">
        <v>35000</v>
      </c>
      <c r="C2" s="4">
        <f>Assumptions!B22</f>
        <v/>
      </c>
      <c r="D2" s="4">
        <f>B2*C2</f>
        <v/>
      </c>
      <c r="E2" s="4" t="n">
        <v>1</v>
      </c>
      <c r="F2" s="4">
        <f>D2*E2</f>
        <v/>
      </c>
      <c r="G2" s="4" t="inlineStr">
        <is>
          <t>Mature mobile retail, lower multiple</t>
        </is>
      </c>
    </row>
    <row r="3">
      <c r="A3" s="4" t="inlineStr">
        <is>
          <t>ĐMX/consumer electronics</t>
        </is>
      </c>
      <c r="B3" s="4" t="n">
        <v>55000</v>
      </c>
      <c r="C3" s="4">
        <f>Assumptions!B23</f>
        <v/>
      </c>
      <c r="D3" s="4">
        <f>B3*C3</f>
        <v/>
      </c>
      <c r="E3" s="4" t="n">
        <v>1</v>
      </c>
      <c r="F3" s="4">
        <f>D3*E3</f>
        <v/>
      </c>
      <c r="G3" s="4" t="inlineStr">
        <is>
          <t>IPO candidate; can crystallize value</t>
        </is>
      </c>
    </row>
    <row r="4">
      <c r="A4" s="4" t="inlineStr">
        <is>
          <t>BHX/grocery</t>
        </is>
      </c>
      <c r="B4" s="4" t="n">
        <v>40000</v>
      </c>
      <c r="C4" s="4">
        <f>Assumptions!B24</f>
        <v/>
      </c>
      <c r="D4" s="4">
        <f>B4*C4</f>
        <v/>
      </c>
      <c r="E4" s="4" t="n">
        <v>1</v>
      </c>
      <c r="F4" s="4">
        <f>D4*E4</f>
        <v/>
      </c>
      <c r="G4" s="4" t="inlineStr">
        <is>
          <t>Higher optionality if profitable scale</t>
        </is>
      </c>
    </row>
    <row r="5">
      <c r="A5" s="4" t="inlineStr">
        <is>
          <t>Other/minority</t>
        </is>
      </c>
      <c r="B5" s="4" t="n">
        <v>0</v>
      </c>
      <c r="C5" s="4" t="inlineStr"/>
      <c r="D5" s="4" t="inlineStr">
        <is>
          <t>=</t>
        </is>
      </c>
      <c r="E5" s="4" t="n">
        <v>1</v>
      </c>
      <c r="F5" s="4">
        <f>Assumptions!B25</f>
        <v/>
      </c>
      <c r="G5" s="4" t="inlineStr">
        <is>
          <t>An Khang/AVAKids/etc.</t>
        </is>
      </c>
    </row>
    <row r="6">
      <c r="A6" s="4" t="n"/>
      <c r="B6" s="4" t="n"/>
      <c r="C6" s="4" t="n"/>
      <c r="D6" s="4" t="n"/>
      <c r="E6" s="4" t="n"/>
      <c r="F6" s="4" t="n"/>
      <c r="G6" s="4" t="n"/>
    </row>
    <row r="7">
      <c r="A7" s="4" t="n"/>
      <c r="B7" s="4" t="n"/>
      <c r="C7" s="4" t="n"/>
      <c r="D7" s="4" t="n"/>
      <c r="E7" s="4" t="n"/>
      <c r="F7" s="4" t="n"/>
      <c r="G7" s="4" t="n"/>
    </row>
    <row r="8">
      <c r="A8" s="4" t="inlineStr">
        <is>
          <t>Gross EV</t>
        </is>
      </c>
      <c r="B8" s="4" t="n"/>
      <c r="C8" s="4" t="n"/>
      <c r="D8" s="4" t="n"/>
      <c r="E8" s="4" t="n"/>
      <c r="F8" s="4">
        <f>SUM(F2:F5)</f>
        <v/>
      </c>
      <c r="G8" s="4" t="n"/>
    </row>
    <row r="9">
      <c r="A9" s="4" t="inlineStr">
        <is>
          <t>Net debt</t>
        </is>
      </c>
      <c r="B9" s="4" t="n"/>
      <c r="C9" s="4" t="n"/>
      <c r="D9" s="4" t="n"/>
      <c r="E9" s="4" t="n"/>
      <c r="F9" s="4">
        <f>Assumptions!B20</f>
        <v/>
      </c>
      <c r="G9" s="4" t="n"/>
    </row>
    <row r="10">
      <c r="A10" s="4" t="inlineStr">
        <is>
          <t>Equity value</t>
        </is>
      </c>
      <c r="B10" s="4" t="n"/>
      <c r="C10" s="4" t="n"/>
      <c r="D10" s="4" t="n"/>
      <c r="E10" s="4" t="n"/>
      <c r="F10" s="4">
        <f>F8-F9</f>
        <v/>
      </c>
      <c r="G10" s="4" t="n"/>
    </row>
    <row r="11">
      <c r="A11" s="4" t="inlineStr">
        <is>
          <t>Value/share VND</t>
        </is>
      </c>
      <c r="B11" s="4" t="n"/>
      <c r="C11" s="4" t="n"/>
      <c r="D11" s="4" t="n"/>
      <c r="E11" s="4" t="n"/>
      <c r="F11" s="4">
        <f>F10*1000/Assumptions!B21</f>
        <v/>
      </c>
      <c r="G11"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8" t="inlineStr">
        <is>
          <t>Item</t>
        </is>
      </c>
      <c r="B1" s="8" t="inlineStr">
        <is>
          <t>Base formula/value</t>
        </is>
      </c>
      <c r="C1" s="8" t="inlineStr">
        <is>
          <t>Interpretation</t>
        </is>
      </c>
    </row>
    <row r="2">
      <c r="A2" s="4" t="inlineStr">
        <is>
          <t>ĐMX post-money valuation VNDbn</t>
        </is>
      </c>
      <c r="B2" s="4">
        <f>Assumptions!B27</f>
        <v/>
      </c>
      <c r="C2" s="4" t="inlineStr">
        <is>
          <t>Giá trị thị trường hàm ý của ĐMX sau IPO</t>
        </is>
      </c>
    </row>
    <row r="3">
      <c r="A3" s="4" t="inlineStr">
        <is>
          <t>Stake sold</t>
        </is>
      </c>
      <c r="B3" s="4">
        <f>Assumptions!B26</f>
        <v/>
      </c>
      <c r="C3" s="4" t="inlineStr">
        <is>
          <t>Tỷ lệ MWG bán ra/pha loãng</t>
        </is>
      </c>
    </row>
    <row r="4">
      <c r="A4" s="4" t="inlineStr">
        <is>
          <t>Cash proceeds VNDbn</t>
        </is>
      </c>
      <c r="B4" s="4">
        <f>B2*B3</f>
        <v/>
      </c>
      <c r="C4" s="4" t="inlineStr">
        <is>
          <t>Tiền về MWG/ĐMX tùy cấu trúc primary/secondary</t>
        </is>
      </c>
    </row>
    <row r="5">
      <c r="A5" s="4" t="inlineStr">
        <is>
          <t>Remaining MWG ownership</t>
        </is>
      </c>
      <c r="B5" s="4">
        <f>1-B3</f>
        <v/>
      </c>
      <c r="C5" s="4" t="inlineStr">
        <is>
          <t>Tỷ lệ MWG còn nắm ĐMX</t>
        </is>
      </c>
    </row>
    <row r="6">
      <c r="A6" s="4" t="inlineStr">
        <is>
          <t>Value of retained ĐMX</t>
        </is>
      </c>
      <c r="B6" s="4">
        <f>B2*B5</f>
        <v/>
      </c>
      <c r="C6" s="4" t="inlineStr">
        <is>
          <t>Giá trị phần còn lại MWG nắm giữ</t>
        </is>
      </c>
    </row>
    <row r="7">
      <c r="A7" s="4" t="inlineStr">
        <is>
          <t>Potential debt reduction</t>
        </is>
      </c>
      <c r="B7" s="4">
        <f>MIN(B4,Assumptions!B20)</f>
        <v/>
      </c>
      <c r="C7" s="4" t="inlineStr">
        <is>
          <t>Nếu dùng proceeds giảm nợ</t>
        </is>
      </c>
    </row>
    <row r="8">
      <c r="A8" s="4" t="inlineStr">
        <is>
          <t>Equity value uplift vs pre-IPO SOTP</t>
        </is>
      </c>
      <c r="B8" s="4">
        <f>B2-SOTP!D3</f>
        <v/>
      </c>
      <c r="C8" s="4" t="inlineStr">
        <is>
          <t>Chênh lệch giá trị ĐMX IPO so với multiple SOTP</t>
        </is>
      </c>
    </row>
    <row r="9">
      <c r="A9" s="4" t="n"/>
      <c r="B9" s="4" t="n"/>
      <c r="C9" s="4" t="n"/>
    </row>
    <row r="10">
      <c r="A10" s="4" t="n"/>
      <c r="B10" s="4" t="n"/>
      <c r="C10" s="4" t="n"/>
    </row>
    <row r="11">
      <c r="A11" s="4" t="inlineStr">
        <is>
          <t>Phân tích chuyên sâu</t>
        </is>
      </c>
      <c r="B11" s="4" t="inlineStr">
        <is>
          <t>IPO ĐMX có thể tác động MWG qua 4 kênh: (1) crystallize value bằng market multiple riêng cho ĐMX; (2) tạo cash proceeds giúp giảm net debt/tài trợ BHX; (3) tăng minh bạch segment và mở khóa SOTP; (4) rủi ro dilution/control discount nếu bán tỷ lệ lớn hoặc market định giá thấp.</t>
        </is>
      </c>
      <c r="C11" s="4" t="n"/>
    </row>
    <row r="12">
      <c r="A12" s="4" t="n"/>
      <c r="B12" s="4" t="n"/>
      <c r="C12" s="4" t="n"/>
    </row>
    <row r="13">
      <c r="A13" s="4" t="inlineStr">
        <is>
          <t>Tác động định giá</t>
        </is>
      </c>
      <c r="B13" s="4" t="inlineStr">
        <is>
          <t>Trong DCF hợp nhất, IPO chủ yếu thay đổi capital structure và terminal optionality. Trong SOTP, IPO ĐMX tạo observable market value cho segment, thay vì gộp trong MWG multiple. Nếu post-money ĐMX &gt; EV implied trong SOTP, fair value MWG tăng; ngược lại có thể tạo anchor thấp.</t>
        </is>
      </c>
      <c r="C13"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8" t="inlineStr">
        <is>
          <t>Chủ đề</t>
        </is>
      </c>
      <c r="B1" s="8" t="inlineStr">
        <is>
          <t>Nội dung phân tích</t>
        </is>
      </c>
      <c r="C1" s="8" t="inlineStr">
        <is>
          <t>Implication định giá</t>
        </is>
      </c>
    </row>
    <row r="2">
      <c r="A2" s="4" t="inlineStr">
        <is>
          <t>Mô hình vận hành</t>
        </is>
      </c>
      <c r="B2" s="4" t="inlineStr">
        <is>
          <t>Chuỗi grocery hiện đại: cửa hàng gần khu dân cư, SKU thiết yếu/tươi sống, logistics lạnh/khô, procurement tập trung, tối ưu shrinkage và vòng quay hàng tồn.</t>
        </is>
      </c>
      <c r="C2" s="4" t="inlineStr">
        <is>
          <t>Khi đạt scale, gross margin + operating leverage cải thiện; valuation chuyển từ drag sang optionality.</t>
        </is>
      </c>
    </row>
    <row r="3">
      <c r="A3" s="4" t="inlineStr">
        <is>
          <t>Revenue driver</t>
        </is>
      </c>
      <c r="B3" s="4" t="inlineStr">
        <is>
          <t>Doanh thu/cửa hàng, số cửa hàng, mix hàng tươi sống/FMCG, online delivery, repeat frequency.</t>
        </is>
      </c>
      <c r="C3" s="4" t="inlineStr">
        <is>
          <t>Sensitivity nên tách SSSG và store expansion.</t>
        </is>
      </c>
    </row>
    <row r="4">
      <c r="A4" s="4" t="inlineStr">
        <is>
          <t>Cost driver</t>
        </is>
      </c>
      <c r="B4" s="4" t="inlineStr">
        <is>
          <t>COGS/procurement, shrinkage, rent, labor/store, logistics, marketing, IT.</t>
        </is>
      </c>
      <c r="C4" s="4" t="inlineStr">
        <is>
          <t>EBIT margin BHX là biến số quyết định upside.</t>
        </is>
      </c>
    </row>
    <row r="5">
      <c r="A5" s="4" t="inlineStr">
        <is>
          <t>Thị phần</t>
        </is>
      </c>
      <c r="B5" s="4" t="inlineStr">
        <is>
          <t>Thị trường grocery VN còn phân mảnh, kênh truyền thống lớn. BHX cạnh tranh với WinMart, Co.op, Satra, chợ truyền thống, minimart.</t>
        </is>
      </c>
      <c r="C5" s="4" t="inlineStr">
        <is>
          <t>Nếu BHX lấy thị phần modern grocery và duy trì unit economics dương, multiple có thể cao hơn retail truyền thống.</t>
        </is>
      </c>
    </row>
    <row r="6">
      <c r="A6" s="4" t="inlineStr">
        <is>
          <t>Rủi ro</t>
        </is>
      </c>
      <c r="B6" s="4" t="inlineStr">
        <is>
          <t>Biên mỏng, hàng tươi sống hao hụt, cạnh tranh giá, logistics, mở rộng quá nhanh.</t>
        </is>
      </c>
      <c r="C6" s="4" t="inlineStr">
        <is>
          <t>Bear case dùng EV/Sales thấp và margin hồi phục chậm.</t>
        </is>
      </c>
    </row>
    <row r="7">
      <c r="A7" s="4" t="inlineStr">
        <is>
          <t>Triển vọng</t>
        </is>
      </c>
      <c r="B7" s="4" t="inlineStr">
        <is>
          <t>Thu nhập đô thị tăng, nhu cầu tiện lợi/an toàn thực phẩm, thanh toán số, delivery hỗ trợ modern trade.</t>
        </is>
      </c>
      <c r="C7" s="4" t="inlineStr">
        <is>
          <t>Bull case: doanh thu/cửa hàng tăng và margin ổn định.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8" t="inlineStr">
        <is>
          <t>Yếu tố</t>
        </is>
      </c>
      <c r="B1" s="8" t="inlineStr">
        <is>
          <t>Tác động đến MWG</t>
        </is>
      </c>
      <c r="C1" s="8" t="inlineStr">
        <is>
          <t>Theo dõi</t>
        </is>
      </c>
    </row>
    <row r="2">
      <c r="A2" s="4" t="inlineStr">
        <is>
          <t>GDP/thu nhập hộ gia đình</t>
        </is>
      </c>
      <c r="B2" s="4" t="inlineStr">
        <is>
          <t>Tăng trưởng thu nhập hỗ trợ tiêu dùng ICT/CE và grocery modern trade.</t>
        </is>
      </c>
      <c r="C2" s="4" t="inlineStr">
        <is>
          <t>GDP real, retail sales, CPI</t>
        </is>
      </c>
    </row>
    <row r="3">
      <c r="A3" s="4" t="inlineStr">
        <is>
          <t>Lãi suất/tín dụng tiêu dùng</t>
        </is>
      </c>
      <c r="B3" s="4" t="inlineStr">
        <is>
          <t>Lãi suất thấp hỗ trợ mua hàng điện máy/điện thoại trả góp.</t>
        </is>
      </c>
      <c r="C3" s="4" t="inlineStr">
        <is>
          <t>Policy rate, consumer finance growth</t>
        </is>
      </c>
    </row>
    <row r="4">
      <c r="A4" s="4" t="inlineStr">
        <is>
          <t>CPI thực phẩm</t>
        </is>
      </c>
      <c r="B4" s="4" t="inlineStr">
        <is>
          <t>Ảnh hưởng sức mua và gross margin BHX.</t>
        </is>
      </c>
      <c r="C4" s="4" t="inlineStr">
        <is>
          <t>Food CPI, commodity prices</t>
        </is>
      </c>
    </row>
    <row r="5">
      <c r="A5" s="4" t="inlineStr">
        <is>
          <t>Tỷ giá</t>
        </is>
      </c>
      <c r="B5" s="4" t="inlineStr">
        <is>
          <t>Ảnh hưởng hàng nhập khẩu electronics/phones.</t>
        </is>
      </c>
      <c r="C5" s="4" t="inlineStr">
        <is>
          <t>USD/VND, vendor pricing</t>
        </is>
      </c>
    </row>
    <row r="6">
      <c r="A6" s="4" t="inlineStr">
        <is>
          <t>Niềm tin tiêu dùng</t>
        </is>
      </c>
      <c r="B6" s="4" t="inlineStr">
        <is>
          <t>Tác động chu kỳ thay mới điện thoại/điện máy.</t>
        </is>
      </c>
      <c r="C6" s="4" t="inlineStr">
        <is>
          <t>Retail sales ex-inflation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9" t="inlineStr">
        <is>
          <t>DCF value/share sensitivity (VND)</t>
        </is>
      </c>
      <c r="B1" s="4" t="n"/>
      <c r="C1" s="4" t="n"/>
      <c r="D1" s="4" t="n"/>
      <c r="E1" s="4" t="n"/>
      <c r="F1" s="4" t="n"/>
    </row>
    <row r="2">
      <c r="A2" s="4" t="inlineStr">
        <is>
          <t>WACC \ g</t>
        </is>
      </c>
      <c r="B2" s="4" t="n">
        <v>0.02</v>
      </c>
      <c r="C2" s="4" t="n">
        <v>0.03</v>
      </c>
      <c r="D2" s="4" t="n">
        <v>0.035</v>
      </c>
      <c r="E2" s="4" t="n">
        <v>0.04</v>
      </c>
      <c r="F2" s="4" t="n">
        <v>0.045</v>
      </c>
    </row>
    <row r="3">
      <c r="A3" s="4" t="n">
        <v>0.09</v>
      </c>
      <c r="B3" s="4">
        <f>((SUM(DCF_Consolidated!C13:G13)+(DCF_Consolidated!G11*(1+0.02)/(0.09-0.02)/(1+0.09)^5))-Assumptions!B20)*1000/Assumptions!B21</f>
        <v/>
      </c>
      <c r="C3" s="4">
        <f>((SUM(DCF_Consolidated!C13:G13)+(DCF_Consolidated!G11*(1+0.03)/(0.09-0.03)/(1+0.09)^5))-Assumptions!B20)*1000/Assumptions!B21</f>
        <v/>
      </c>
      <c r="D3" s="4">
        <f>((SUM(DCF_Consolidated!C13:G13)+(DCF_Consolidated!G11*(1+0.035)/(0.09-0.035)/(1+0.09)^5))-Assumptions!B20)*1000/Assumptions!B21</f>
        <v/>
      </c>
      <c r="E3" s="4">
        <f>((SUM(DCF_Consolidated!C13:G13)+(DCF_Consolidated!G11*(1+0.04)/(0.09-0.04)/(1+0.09)^5))-Assumptions!B20)*1000/Assumptions!B21</f>
        <v/>
      </c>
      <c r="F3" s="4">
        <f>((SUM(DCF_Consolidated!C13:G13)+(DCF_Consolidated!G11*(1+0.045)/(0.09-0.045)/(1+0.09)^5))-Assumptions!B20)*1000/Assumptions!B21</f>
        <v/>
      </c>
    </row>
    <row r="4">
      <c r="A4" s="4" t="n">
        <v>0.1</v>
      </c>
      <c r="B4" s="4">
        <f>((SUM(DCF_Consolidated!C13:G13)+(DCF_Consolidated!G11*(1+0.02)/(0.1-0.02)/(1+0.1)^5))-Assumptions!B20)*1000/Assumptions!B21</f>
        <v/>
      </c>
      <c r="C4" s="4">
        <f>((SUM(DCF_Consolidated!C13:G13)+(DCF_Consolidated!G11*(1+0.03)/(0.1-0.03)/(1+0.1)^5))-Assumptions!B20)*1000/Assumptions!B21</f>
        <v/>
      </c>
      <c r="D4" s="4">
        <f>((SUM(DCF_Consolidated!C13:G13)+(DCF_Consolidated!G11*(1+0.035)/(0.1-0.035)/(1+0.1)^5))-Assumptions!B20)*1000/Assumptions!B21</f>
        <v/>
      </c>
      <c r="E4" s="4">
        <f>((SUM(DCF_Consolidated!C13:G13)+(DCF_Consolidated!G11*(1+0.04)/(0.1-0.04)/(1+0.1)^5))-Assumptions!B20)*1000/Assumptions!B21</f>
        <v/>
      </c>
      <c r="F4" s="4">
        <f>((SUM(DCF_Consolidated!C13:G13)+(DCF_Consolidated!G11*(1+0.045)/(0.1-0.045)/(1+0.1)^5))-Assumptions!B20)*1000/Assumptions!B21</f>
        <v/>
      </c>
    </row>
    <row r="5">
      <c r="A5" s="4" t="n">
        <v>0.105</v>
      </c>
      <c r="B5" s="4">
        <f>((SUM(DCF_Consolidated!C13:G13)+(DCF_Consolidated!G11*(1+0.02)/(0.105-0.02)/(1+0.105)^5))-Assumptions!B20)*1000/Assumptions!B21</f>
        <v/>
      </c>
      <c r="C5" s="4">
        <f>((SUM(DCF_Consolidated!C13:G13)+(DCF_Consolidated!G11*(1+0.03)/(0.105-0.03)/(1+0.105)^5))-Assumptions!B20)*1000/Assumptions!B21</f>
        <v/>
      </c>
      <c r="D5" s="4">
        <f>((SUM(DCF_Consolidated!C13:G13)+(DCF_Consolidated!G11*(1+0.035)/(0.105-0.035)/(1+0.105)^5))-Assumptions!B20)*1000/Assumptions!B21</f>
        <v/>
      </c>
      <c r="E5" s="4">
        <f>((SUM(DCF_Consolidated!C13:G13)+(DCF_Consolidated!G11*(1+0.04)/(0.105-0.04)/(1+0.105)^5))-Assumptions!B20)*1000/Assumptions!B21</f>
        <v/>
      </c>
      <c r="F5" s="4">
        <f>((SUM(DCF_Consolidated!C13:G13)+(DCF_Consolidated!G11*(1+0.045)/(0.105-0.045)/(1+0.105)^5))-Assumptions!B20)*1000/Assumptions!B21</f>
        <v/>
      </c>
    </row>
    <row r="6">
      <c r="A6" s="4" t="n">
        <v>0.11</v>
      </c>
      <c r="B6" s="4">
        <f>((SUM(DCF_Consolidated!C13:G13)+(DCF_Consolidated!G11*(1+0.02)/(0.11-0.02)/(1+0.11)^5))-Assumptions!B20)*1000/Assumptions!B21</f>
        <v/>
      </c>
      <c r="C6" s="4">
        <f>((SUM(DCF_Consolidated!C13:G13)+(DCF_Consolidated!G11*(1+0.03)/(0.11-0.03)/(1+0.11)^5))-Assumptions!B20)*1000/Assumptions!B21</f>
        <v/>
      </c>
      <c r="D6" s="4">
        <f>((SUM(DCF_Consolidated!C13:G13)+(DCF_Consolidated!G11*(1+0.035)/(0.11-0.035)/(1+0.11)^5))-Assumptions!B20)*1000/Assumptions!B21</f>
        <v/>
      </c>
      <c r="E6" s="4">
        <f>((SUM(DCF_Consolidated!C13:G13)+(DCF_Consolidated!G11*(1+0.04)/(0.11-0.04)/(1+0.11)^5))-Assumptions!B20)*1000/Assumptions!B21</f>
        <v/>
      </c>
      <c r="F6" s="4">
        <f>((SUM(DCF_Consolidated!C13:G13)+(DCF_Consolidated!G11*(1+0.045)/(0.11-0.045)/(1+0.11)^5))-Assumptions!B20)*1000/Assumptions!B21</f>
        <v/>
      </c>
    </row>
    <row r="7">
      <c r="A7" s="4" t="n">
        <v>0.12</v>
      </c>
      <c r="B7" s="4">
        <f>((SUM(DCF_Consolidated!C13:G13)+(DCF_Consolidated!G11*(1+0.02)/(0.12-0.02)/(1+0.12)^5))-Assumptions!B20)*1000/Assumptions!B21</f>
        <v/>
      </c>
      <c r="C7" s="4">
        <f>((SUM(DCF_Consolidated!C13:G13)+(DCF_Consolidated!G11*(1+0.03)/(0.12-0.03)/(1+0.12)^5))-Assumptions!B20)*1000/Assumptions!B21</f>
        <v/>
      </c>
      <c r="D7" s="4">
        <f>((SUM(DCF_Consolidated!C13:G13)+(DCF_Consolidated!G11*(1+0.035)/(0.12-0.035)/(1+0.12)^5))-Assumptions!B20)*1000/Assumptions!B21</f>
        <v/>
      </c>
      <c r="E7" s="4">
        <f>((SUM(DCF_Consolidated!C13:G13)+(DCF_Consolidated!G11*(1+0.04)/(0.12-0.04)/(1+0.12)^5))-Assumptions!B20)*1000/Assumptions!B21</f>
        <v/>
      </c>
      <c r="F7" s="4">
        <f>((SUM(DCF_Consolidated!C13:G13)+(DCF_Consolidated!G11*(1+0.045)/(0.12-0.045)/(1+0.12)^5))-Assumptions!B20)*1000/Assumptions!B21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c r="A1" s="8" t="inlineStr">
        <is>
          <t>Nguồn</t>
        </is>
      </c>
      <c r="B1" s="8" t="inlineStr">
        <is>
          <t>URL/ghi chú</t>
        </is>
      </c>
      <c r="C1" s="8" t="inlineStr">
        <is>
          <t>Cần cập nhật</t>
        </is>
      </c>
    </row>
    <row r="2">
      <c r="A2" s="4" t="inlineStr">
        <is>
          <t>MWG IR / annual reports</t>
        </is>
      </c>
      <c r="B2" s="4" t="inlineStr">
        <is>
          <t>https://mwg.vn/ hoặc trang IR chính thức MWG</t>
        </is>
      </c>
      <c r="C2" s="4" t="inlineStr">
        <is>
          <t>BCTC năm/quý, annual report, presentation</t>
        </is>
      </c>
    </row>
    <row r="3">
      <c r="A3" s="4" t="inlineStr">
        <is>
          <t>HOSE/SSC disclosures</t>
        </is>
      </c>
      <c r="B3" s="4" t="inlineStr">
        <is>
          <t>Công bố thông tin chính thức</t>
        </is>
      </c>
      <c r="C3" s="4" t="inlineStr">
        <is>
          <t>Số cổ phiếu, nghị quyết IPO/spin-off nếu có</t>
        </is>
      </c>
    </row>
    <row r="4">
      <c r="A4" s="4" t="inlineStr">
        <is>
          <t>CafeF/Vietstock</t>
        </is>
      </c>
      <c r="B4" s="4" t="inlineStr">
        <is>
          <t>Market data, snapshot tài chính</t>
        </is>
      </c>
      <c r="C4" s="4" t="inlineStr">
        <is>
          <t>Giá cổ phiếu, P/E, EV/EBITDA, historical FS cross-check</t>
        </is>
      </c>
    </row>
    <row r="5">
      <c r="A5" s="4" t="inlineStr">
        <is>
          <t>General Statistics Office Vietnam</t>
        </is>
      </c>
      <c r="B5" s="4" t="inlineStr">
        <is>
          <t>Macro GDP/CPI/retail sales</t>
        </is>
      </c>
      <c r="C5" s="4" t="inlineStr">
        <is>
          <t>Macro assumptions</t>
        </is>
      </c>
    </row>
    <row r="6">
      <c r="A6" s="4" t="inlineStr">
        <is>
          <t>Company store data</t>
        </is>
      </c>
      <c r="B6" s="4" t="inlineStr">
        <is>
          <t>Số cửa hàng TGDD/ĐMX/BHX, doanh thu/cửa hàng</t>
        </is>
      </c>
      <c r="C6" s="4" t="inlineStr">
        <is>
          <t>Segment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2026-05-31T10:55:59Z</dcterms:created>
  <dcterms:modified xmlns:dcterms="http://purl.org/dc/terms/" xmlns:xsi="http://www.w3.org/2001/XMLSchema-instance" xsi:type="dcterms:W3CDTF">2026-05-31T10:55:59Z</dcterms:modified>
</cp:coreProperties>
</file>