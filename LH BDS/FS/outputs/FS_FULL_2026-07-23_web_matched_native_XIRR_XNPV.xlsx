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D-CVDT\.openclaw\workspace\LH BDS\FS\outputs\"/>
    </mc:Choice>
  </mc:AlternateContent>
  <xr:revisionPtr revIDLastSave="0" documentId="13_ncr:1_{8D80609E-1D16-4944-B43E-95F1683FD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DASHBOARD" sheetId="2" r:id="rId2"/>
    <sheet name="INPUT" sheetId="3" r:id="rId3"/>
    <sheet name="TIENDO" sheetId="4" r:id="rId4"/>
    <sheet name="QD425" sheetId="5" r:id="rId5"/>
    <sheet name="FS" sheetId="6" r:id="rId6"/>
    <sheet name="CAUTRUCVON" sheetId="7" r:id="rId7"/>
    <sheet name="PHANBOCP" sheetId="8" r:id="rId8"/>
    <sheet name="KHAITOAN" sheetId="9" r:id="rId9"/>
    <sheet name="WEB_RESULT" sheetId="10" r:id="rId10"/>
    <sheet name="WEB_CF" sheetId="11" r:id="rId11"/>
    <sheet name="WEB_COLLECTION_SPLIT" sheetId="12" r:id="rId12"/>
    <sheet name="IRR_SOLVER" sheetId="13" r:id="rId13"/>
    <sheet name="HDS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1" l="1"/>
  <c r="O3" i="11"/>
  <c r="O4" i="11"/>
  <c r="O5" i="11"/>
  <c r="O6" i="11"/>
  <c r="O7" i="11"/>
  <c r="O8" i="11"/>
  <c r="C5" i="6" s="1"/>
  <c r="O9" i="11"/>
  <c r="O10" i="11"/>
  <c r="O11" i="11"/>
  <c r="O12" i="11"/>
  <c r="O13" i="11"/>
  <c r="O14" i="11"/>
  <c r="C7" i="6"/>
  <c r="K4" i="13"/>
  <c r="L4" i="13" s="1"/>
  <c r="D4" i="13"/>
  <c r="F4" i="13" s="1"/>
  <c r="C20" i="9"/>
  <c r="F17" i="9"/>
  <c r="E17" i="9"/>
  <c r="D17" i="9"/>
  <c r="F16" i="9"/>
  <c r="E16" i="9"/>
  <c r="D16" i="9"/>
  <c r="F15" i="9"/>
  <c r="E15" i="9"/>
  <c r="D15" i="9"/>
  <c r="F9" i="9"/>
  <c r="E9" i="9"/>
  <c r="E12" i="9" s="1"/>
  <c r="D9" i="9"/>
  <c r="C9" i="9"/>
  <c r="F8" i="9"/>
  <c r="E8" i="9"/>
  <c r="D8" i="9"/>
  <c r="D12" i="9" s="1"/>
  <c r="C8" i="9"/>
  <c r="C11" i="9" s="1"/>
  <c r="F7" i="9"/>
  <c r="E7" i="9"/>
  <c r="D7" i="9"/>
  <c r="C7" i="9"/>
  <c r="F6" i="9"/>
  <c r="E6" i="9"/>
  <c r="D6" i="9"/>
  <c r="C6" i="9"/>
  <c r="F5" i="9"/>
  <c r="E5" i="9"/>
  <c r="D5" i="9"/>
  <c r="C5" i="9"/>
  <c r="R9" i="7"/>
  <c r="R4" i="7"/>
  <c r="Q4" i="7"/>
  <c r="C128" i="6"/>
  <c r="D7" i="8" s="1"/>
  <c r="C125" i="6"/>
  <c r="F86" i="6" s="1"/>
  <c r="C124" i="6"/>
  <c r="C123" i="6"/>
  <c r="C122" i="6"/>
  <c r="C121" i="6"/>
  <c r="C120" i="6"/>
  <c r="C119" i="6"/>
  <c r="C118" i="6"/>
  <c r="C116" i="6"/>
  <c r="C126" i="6" s="1"/>
  <c r="C113" i="6"/>
  <c r="C114" i="6" s="1"/>
  <c r="C108" i="6"/>
  <c r="C106" i="6"/>
  <c r="M21" i="6" s="1"/>
  <c r="C104" i="6"/>
  <c r="C103" i="6"/>
  <c r="C101" i="6"/>
  <c r="C100" i="6"/>
  <c r="C99" i="6"/>
  <c r="C98" i="6"/>
  <c r="BK87" i="6"/>
  <c r="BJ87" i="6"/>
  <c r="BI87" i="6"/>
  <c r="BH87" i="6"/>
  <c r="BG87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BJ63" i="6"/>
  <c r="BG63" i="6"/>
  <c r="AY63" i="6"/>
  <c r="AX63" i="6"/>
  <c r="BC55" i="6"/>
  <c r="AX55" i="6"/>
  <c r="AU55" i="6"/>
  <c r="AM55" i="6"/>
  <c r="O55" i="6"/>
  <c r="BK54" i="6"/>
  <c r="AO54" i="6"/>
  <c r="AL54" i="6"/>
  <c r="AJ54" i="6"/>
  <c r="AI54" i="6"/>
  <c r="AI58" i="6" s="1"/>
  <c r="O54" i="6"/>
  <c r="N54" i="6"/>
  <c r="G54" i="6"/>
  <c r="AI53" i="6"/>
  <c r="AI57" i="6" s="1"/>
  <c r="W53" i="6"/>
  <c r="W57" i="6" s="1"/>
  <c r="V53" i="6"/>
  <c r="AQ52" i="6"/>
  <c r="AN52" i="6"/>
  <c r="AM52" i="6"/>
  <c r="V52" i="6"/>
  <c r="P52" i="6"/>
  <c r="O52" i="6"/>
  <c r="BK51" i="6"/>
  <c r="BK55" i="6" s="1"/>
  <c r="BJ51" i="6"/>
  <c r="BJ54" i="6" s="1"/>
  <c r="BI51" i="6"/>
  <c r="BI52" i="6" s="1"/>
  <c r="BH51" i="6"/>
  <c r="BH63" i="6" s="1"/>
  <c r="BG51" i="6"/>
  <c r="BG52" i="6" s="1"/>
  <c r="BF51" i="6"/>
  <c r="BF52" i="6" s="1"/>
  <c r="BE51" i="6"/>
  <c r="BE54" i="6" s="1"/>
  <c r="BD51" i="6"/>
  <c r="BC51" i="6"/>
  <c r="BC52" i="6" s="1"/>
  <c r="BB51" i="6"/>
  <c r="BB55" i="6" s="1"/>
  <c r="BA51" i="6"/>
  <c r="BA53" i="6" s="1"/>
  <c r="AZ51" i="6"/>
  <c r="AY51" i="6"/>
  <c r="AX51" i="6"/>
  <c r="AW51" i="6"/>
  <c r="AW53" i="6" s="1"/>
  <c r="AV51" i="6"/>
  <c r="AV53" i="6" s="1"/>
  <c r="AU51" i="6"/>
  <c r="AU63" i="6" s="1"/>
  <c r="AT51" i="6"/>
  <c r="AT53" i="6" s="1"/>
  <c r="AS51" i="6"/>
  <c r="AS54" i="6" s="1"/>
  <c r="AR51" i="6"/>
  <c r="AQ51" i="6"/>
  <c r="AQ55" i="6" s="1"/>
  <c r="AP51" i="6"/>
  <c r="AP52" i="6" s="1"/>
  <c r="AO51" i="6"/>
  <c r="AO52" i="6" s="1"/>
  <c r="AN51" i="6"/>
  <c r="AN53" i="6" s="1"/>
  <c r="AM51" i="6"/>
  <c r="AM53" i="6" s="1"/>
  <c r="AL51" i="6"/>
  <c r="AK51" i="6"/>
  <c r="AK54" i="6" s="1"/>
  <c r="AJ51" i="6"/>
  <c r="AJ63" i="6" s="1"/>
  <c r="AI51" i="6"/>
  <c r="AI55" i="6" s="1"/>
  <c r="AH51" i="6"/>
  <c r="AH53" i="6" s="1"/>
  <c r="AG51" i="6"/>
  <c r="AG55" i="6" s="1"/>
  <c r="AF51" i="6"/>
  <c r="AE51" i="6"/>
  <c r="AD51" i="6"/>
  <c r="AD55" i="6" s="1"/>
  <c r="AC51" i="6"/>
  <c r="AB51" i="6"/>
  <c r="AA51" i="6"/>
  <c r="Z51" i="6"/>
  <c r="Y51" i="6"/>
  <c r="X51" i="6"/>
  <c r="W51" i="6"/>
  <c r="W55" i="6" s="1"/>
  <c r="V51" i="6"/>
  <c r="U51" i="6"/>
  <c r="U52" i="6" s="1"/>
  <c r="T51" i="6"/>
  <c r="S51" i="6"/>
  <c r="S55" i="6" s="1"/>
  <c r="R51" i="6"/>
  <c r="R54" i="6" s="1"/>
  <c r="Q51" i="6"/>
  <c r="Q54" i="6" s="1"/>
  <c r="P51" i="6"/>
  <c r="O51" i="6"/>
  <c r="O53" i="6" s="1"/>
  <c r="N51" i="6"/>
  <c r="N53" i="6" s="1"/>
  <c r="M51" i="6"/>
  <c r="L51" i="6"/>
  <c r="L54" i="6" s="1"/>
  <c r="K51" i="6"/>
  <c r="K54" i="6" s="1"/>
  <c r="J51" i="6"/>
  <c r="J53" i="6" s="1"/>
  <c r="I51" i="6"/>
  <c r="H51" i="6"/>
  <c r="H52" i="6" s="1"/>
  <c r="G51" i="6"/>
  <c r="G63" i="6" s="1"/>
  <c r="F51" i="6"/>
  <c r="F63" i="6" s="1"/>
  <c r="E51" i="6"/>
  <c r="D51" i="6"/>
  <c r="D49" i="6"/>
  <c r="O48" i="6"/>
  <c r="M46" i="6"/>
  <c r="P45" i="6"/>
  <c r="O45" i="6"/>
  <c r="N45" i="6"/>
  <c r="M45" i="6"/>
  <c r="G44" i="6"/>
  <c r="E43" i="6"/>
  <c r="BK36" i="6"/>
  <c r="BJ36" i="6"/>
  <c r="BI36" i="6"/>
  <c r="BH36" i="6"/>
  <c r="BH18" i="6" s="1"/>
  <c r="BG36" i="6"/>
  <c r="BG18" i="6" s="1"/>
  <c r="BF36" i="6"/>
  <c r="BE36" i="6"/>
  <c r="BD36" i="6"/>
  <c r="BD18" i="6" s="1"/>
  <c r="BC36" i="6"/>
  <c r="BC18" i="6" s="1"/>
  <c r="BB36" i="6"/>
  <c r="BB18" i="6" s="1"/>
  <c r="BA36" i="6"/>
  <c r="BA18" i="6" s="1"/>
  <c r="AZ36" i="6"/>
  <c r="AZ18" i="6" s="1"/>
  <c r="AY36" i="6"/>
  <c r="AX36" i="6"/>
  <c r="AX18" i="6" s="1"/>
  <c r="AW36" i="6"/>
  <c r="AW18" i="6" s="1"/>
  <c r="AV36" i="6"/>
  <c r="AV18" i="6" s="1"/>
  <c r="AU36" i="6"/>
  <c r="AU18" i="6" s="1"/>
  <c r="AT36" i="6"/>
  <c r="AT18" i="6" s="1"/>
  <c r="AS36" i="6"/>
  <c r="AS18" i="6" s="1"/>
  <c r="AR36" i="6"/>
  <c r="AR18" i="6" s="1"/>
  <c r="AQ36" i="6"/>
  <c r="AQ18" i="6" s="1"/>
  <c r="AP36" i="6"/>
  <c r="AP18" i="6" s="1"/>
  <c r="AO36" i="6"/>
  <c r="AO18" i="6" s="1"/>
  <c r="AN36" i="6"/>
  <c r="AN18" i="6" s="1"/>
  <c r="AM36" i="6"/>
  <c r="AL36" i="6"/>
  <c r="AK36" i="6"/>
  <c r="AK18" i="6" s="1"/>
  <c r="AJ36" i="6"/>
  <c r="AJ18" i="6" s="1"/>
  <c r="AI36" i="6"/>
  <c r="AH36" i="6"/>
  <c r="AG36" i="6"/>
  <c r="AF36" i="6"/>
  <c r="AF18" i="6" s="1"/>
  <c r="AE36" i="6"/>
  <c r="AE18" i="6" s="1"/>
  <c r="AD36" i="6"/>
  <c r="AD18" i="6" s="1"/>
  <c r="AC36" i="6"/>
  <c r="AC18" i="6" s="1"/>
  <c r="AB36" i="6"/>
  <c r="AB18" i="6" s="1"/>
  <c r="AA36" i="6"/>
  <c r="Z36" i="6"/>
  <c r="Y36" i="6"/>
  <c r="Y18" i="6" s="1"/>
  <c r="X36" i="6"/>
  <c r="X18" i="6" s="1"/>
  <c r="W36" i="6"/>
  <c r="W18" i="6" s="1"/>
  <c r="V36" i="6"/>
  <c r="U36" i="6"/>
  <c r="U18" i="6" s="1"/>
  <c r="T36" i="6"/>
  <c r="T18" i="6" s="1"/>
  <c r="S36" i="6"/>
  <c r="S18" i="6" s="1"/>
  <c r="R36" i="6"/>
  <c r="R18" i="6" s="1"/>
  <c r="Q36" i="6"/>
  <c r="Q18" i="6" s="1"/>
  <c r="P36" i="6"/>
  <c r="P35" i="6"/>
  <c r="O35" i="6"/>
  <c r="N35" i="6"/>
  <c r="M35" i="6"/>
  <c r="L35" i="6"/>
  <c r="K35" i="6"/>
  <c r="J35" i="6"/>
  <c r="I35" i="6"/>
  <c r="H35" i="6"/>
  <c r="G35" i="6"/>
  <c r="E35" i="6"/>
  <c r="D35" i="6"/>
  <c r="D37" i="6" s="1"/>
  <c r="P34" i="6"/>
  <c r="M49" i="6" s="1"/>
  <c r="O34" i="6"/>
  <c r="N48" i="6" s="1"/>
  <c r="N34" i="6"/>
  <c r="M34" i="6"/>
  <c r="L34" i="6"/>
  <c r="I45" i="6" s="1"/>
  <c r="K34" i="6"/>
  <c r="J34" i="6"/>
  <c r="D43" i="6" s="1"/>
  <c r="I34" i="6"/>
  <c r="H34" i="6"/>
  <c r="E34" i="6"/>
  <c r="M38" i="6" s="1"/>
  <c r="D34" i="6"/>
  <c r="G37" i="6" s="1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R6" i="7" s="1"/>
  <c r="Q29" i="6"/>
  <c r="Q6" i="7" s="1"/>
  <c r="D28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R12" i="7" s="1"/>
  <c r="Q26" i="6"/>
  <c r="Q12" i="7" s="1"/>
  <c r="N21" i="6"/>
  <c r="BK18" i="6"/>
  <c r="BJ18" i="6"/>
  <c r="BI18" i="6"/>
  <c r="BF18" i="6"/>
  <c r="BE18" i="6"/>
  <c r="AY18" i="6"/>
  <c r="AM18" i="6"/>
  <c r="AL18" i="6"/>
  <c r="AI18" i="6"/>
  <c r="AH18" i="6"/>
  <c r="AG18" i="6"/>
  <c r="AA18" i="6"/>
  <c r="Z18" i="6"/>
  <c r="V18" i="6"/>
  <c r="P14" i="6"/>
  <c r="E37" i="6" l="1"/>
  <c r="H42" i="6"/>
  <c r="H37" i="6"/>
  <c r="AU53" i="6"/>
  <c r="AU54" i="6"/>
  <c r="L86" i="6"/>
  <c r="D14" i="6"/>
  <c r="H38" i="6"/>
  <c r="AT52" i="6"/>
  <c r="AW54" i="6"/>
  <c r="BG55" i="6"/>
  <c r="BG56" i="6" s="1"/>
  <c r="M86" i="6"/>
  <c r="C10" i="9"/>
  <c r="C14" i="9" s="1"/>
  <c r="E14" i="6"/>
  <c r="G21" i="6"/>
  <c r="L38" i="6"/>
  <c r="AU52" i="6"/>
  <c r="BI54" i="6"/>
  <c r="BH55" i="6"/>
  <c r="N86" i="6"/>
  <c r="F4" i="8"/>
  <c r="K14" i="6"/>
  <c r="I21" i="6"/>
  <c r="I49" i="6"/>
  <c r="BH52" i="6"/>
  <c r="BJ53" i="6"/>
  <c r="AI63" i="6"/>
  <c r="O86" i="6"/>
  <c r="C117" i="6"/>
  <c r="C6" i="6"/>
  <c r="O21" i="6"/>
  <c r="AS52" i="6"/>
  <c r="L14" i="6"/>
  <c r="J21" i="6"/>
  <c r="F35" i="6"/>
  <c r="C134" i="6" s="1"/>
  <c r="C14" i="8"/>
  <c r="F37" i="6"/>
  <c r="K53" i="6"/>
  <c r="C12" i="9"/>
  <c r="C17" i="9" s="1"/>
  <c r="M14" i="6"/>
  <c r="K21" i="6"/>
  <c r="K55" i="6"/>
  <c r="K58" i="6" s="1"/>
  <c r="N14" i="6"/>
  <c r="L21" i="6"/>
  <c r="L53" i="6"/>
  <c r="L55" i="6"/>
  <c r="L57" i="6" s="1"/>
  <c r="O14" i="6"/>
  <c r="W54" i="6"/>
  <c r="W58" i="6" s="1"/>
  <c r="N55" i="6"/>
  <c r="BE63" i="6"/>
  <c r="P86" i="6"/>
  <c r="P41" i="6"/>
  <c r="F41" i="6"/>
  <c r="E41" i="6"/>
  <c r="D41" i="6"/>
  <c r="D22" i="6"/>
  <c r="P22" i="6"/>
  <c r="N22" i="6"/>
  <c r="M22" i="6"/>
  <c r="P15" i="6"/>
  <c r="L43" i="6"/>
  <c r="J36" i="6"/>
  <c r="H43" i="6"/>
  <c r="G43" i="6"/>
  <c r="F43" i="6"/>
  <c r="M43" i="6"/>
  <c r="AM56" i="6"/>
  <c r="L44" i="6"/>
  <c r="I44" i="6"/>
  <c r="K43" i="6"/>
  <c r="N43" i="6"/>
  <c r="BA55" i="6"/>
  <c r="BA57" i="6" s="1"/>
  <c r="E10" i="9"/>
  <c r="L36" i="6"/>
  <c r="H45" i="6"/>
  <c r="F45" i="6"/>
  <c r="N44" i="6"/>
  <c r="O43" i="6"/>
  <c r="I46" i="6"/>
  <c r="O46" i="6"/>
  <c r="N46" i="6"/>
  <c r="P43" i="6"/>
  <c r="M36" i="6"/>
  <c r="L41" i="6"/>
  <c r="D44" i="6"/>
  <c r="Z54" i="6"/>
  <c r="Z55" i="6"/>
  <c r="AL53" i="6"/>
  <c r="AL63" i="6"/>
  <c r="AX53" i="6"/>
  <c r="AX57" i="6" s="1"/>
  <c r="AX54" i="6"/>
  <c r="AX58" i="6" s="1"/>
  <c r="BJ52" i="6"/>
  <c r="BJ55" i="6"/>
  <c r="BJ57" i="6" s="1"/>
  <c r="N15" i="6"/>
  <c r="M41" i="6"/>
  <c r="E44" i="6"/>
  <c r="AA54" i="6"/>
  <c r="AA58" i="6" s="1"/>
  <c r="AA52" i="6"/>
  <c r="AA55" i="6"/>
  <c r="AA53" i="6"/>
  <c r="AY54" i="6"/>
  <c r="AY53" i="6"/>
  <c r="BK58" i="6"/>
  <c r="S54" i="6"/>
  <c r="S58" i="6" s="1"/>
  <c r="BC63" i="6"/>
  <c r="O15" i="6"/>
  <c r="N41" i="6"/>
  <c r="F44" i="6"/>
  <c r="C4" i="6"/>
  <c r="AM57" i="6"/>
  <c r="O41" i="6"/>
  <c r="N42" i="6"/>
  <c r="BB52" i="6"/>
  <c r="BB56" i="6" s="1"/>
  <c r="BB53" i="6"/>
  <c r="BB57" i="6" s="1"/>
  <c r="N38" i="6"/>
  <c r="O38" i="6"/>
  <c r="P42" i="6"/>
  <c r="L45" i="6"/>
  <c r="AE55" i="6"/>
  <c r="AE54" i="6"/>
  <c r="AE53" i="6"/>
  <c r="S52" i="6"/>
  <c r="AL55" i="6"/>
  <c r="F14" i="6"/>
  <c r="P21" i="6"/>
  <c r="BH57" i="6"/>
  <c r="G86" i="6"/>
  <c r="E11" i="9"/>
  <c r="G14" i="6"/>
  <c r="D21" i="6"/>
  <c r="C21" i="6" s="1"/>
  <c r="H48" i="6"/>
  <c r="BE52" i="6"/>
  <c r="I86" i="6"/>
  <c r="H21" i="6"/>
  <c r="I14" i="6"/>
  <c r="E21" i="6"/>
  <c r="I48" i="6"/>
  <c r="AH52" i="6"/>
  <c r="AG53" i="6"/>
  <c r="AG57" i="6" s="1"/>
  <c r="BG53" i="6"/>
  <c r="BG57" i="6" s="1"/>
  <c r="BG54" i="6"/>
  <c r="BG58" i="6" s="1"/>
  <c r="J86" i="6"/>
  <c r="J14" i="6"/>
  <c r="F21" i="6"/>
  <c r="AI52" i="6"/>
  <c r="AI56" i="6" s="1"/>
  <c r="BH53" i="6"/>
  <c r="AG54" i="6"/>
  <c r="AG58" i="6" s="1"/>
  <c r="BH54" i="6"/>
  <c r="K86" i="6"/>
  <c r="D10" i="9"/>
  <c r="D14" i="9" s="1"/>
  <c r="AQ58" i="6"/>
  <c r="AQ57" i="6"/>
  <c r="AQ56" i="6"/>
  <c r="S56" i="6"/>
  <c r="H55" i="6"/>
  <c r="H54" i="6"/>
  <c r="H53" i="6"/>
  <c r="T55" i="6"/>
  <c r="T53" i="6"/>
  <c r="T54" i="6"/>
  <c r="T52" i="6"/>
  <c r="AF52" i="6"/>
  <c r="AF53" i="6"/>
  <c r="AF54" i="6"/>
  <c r="AF55" i="6"/>
  <c r="AR54" i="6"/>
  <c r="AR53" i="6"/>
  <c r="AR55" i="6"/>
  <c r="AR52" i="6"/>
  <c r="BD53" i="6"/>
  <c r="BD52" i="6"/>
  <c r="BD54" i="6"/>
  <c r="BD63" i="6"/>
  <c r="BD55" i="6"/>
  <c r="AR63" i="6"/>
  <c r="BC56" i="6"/>
  <c r="E47" i="6"/>
  <c r="K47" i="6"/>
  <c r="J47" i="6"/>
  <c r="I47" i="6"/>
  <c r="H47" i="6"/>
  <c r="P47" i="6"/>
  <c r="N36" i="6"/>
  <c r="O47" i="6"/>
  <c r="N47" i="6"/>
  <c r="M47" i="6"/>
  <c r="L58" i="6"/>
  <c r="P48" i="6"/>
  <c r="D48" i="6"/>
  <c r="O36" i="6"/>
  <c r="K48" i="6"/>
  <c r="J48" i="6"/>
  <c r="M48" i="6"/>
  <c r="L48" i="6"/>
  <c r="D47" i="6"/>
  <c r="M54" i="6"/>
  <c r="M52" i="6"/>
  <c r="Y54" i="6"/>
  <c r="Y55" i="6"/>
  <c r="Y53" i="6"/>
  <c r="AK55" i="6"/>
  <c r="AK52" i="6"/>
  <c r="AW63" i="6"/>
  <c r="AW52" i="6"/>
  <c r="AW55" i="6"/>
  <c r="BI55" i="6"/>
  <c r="BI63" i="6"/>
  <c r="BI53" i="6"/>
  <c r="M55" i="6"/>
  <c r="O37" i="6"/>
  <c r="J37" i="6"/>
  <c r="I37" i="6"/>
  <c r="N37" i="6"/>
  <c r="P37" i="6"/>
  <c r="K37" i="6"/>
  <c r="F47" i="6"/>
  <c r="L49" i="6"/>
  <c r="L37" i="6"/>
  <c r="G47" i="6"/>
  <c r="Y52" i="6"/>
  <c r="O58" i="6"/>
  <c r="O57" i="6"/>
  <c r="I15" i="6"/>
  <c r="F34" i="6"/>
  <c r="J38" i="6"/>
  <c r="I38" i="6"/>
  <c r="P38" i="6"/>
  <c r="F38" i="6"/>
  <c r="E38" i="6"/>
  <c r="D38" i="6"/>
  <c r="D36" i="6"/>
  <c r="M37" i="6"/>
  <c r="L47" i="6"/>
  <c r="D53" i="6"/>
  <c r="D55" i="6"/>
  <c r="D63" i="6"/>
  <c r="D54" i="6"/>
  <c r="P54" i="6"/>
  <c r="P53" i="6"/>
  <c r="AB54" i="6"/>
  <c r="AB53" i="6"/>
  <c r="AB55" i="6"/>
  <c r="AN63" i="6"/>
  <c r="AN54" i="6"/>
  <c r="AZ63" i="6"/>
  <c r="AZ55" i="6"/>
  <c r="AZ54" i="6"/>
  <c r="AZ53" i="6"/>
  <c r="AZ52" i="6"/>
  <c r="D52" i="6"/>
  <c r="M53" i="6"/>
  <c r="AK53" i="6"/>
  <c r="P55" i="6"/>
  <c r="AN55" i="6"/>
  <c r="K15" i="6"/>
  <c r="G34" i="6"/>
  <c r="E36" i="6"/>
  <c r="G38" i="6"/>
  <c r="E48" i="6"/>
  <c r="E53" i="6"/>
  <c r="E63" i="6"/>
  <c r="E54" i="6"/>
  <c r="E55" i="6"/>
  <c r="Q53" i="6"/>
  <c r="Q52" i="6"/>
  <c r="AC54" i="6"/>
  <c r="AC53" i="6"/>
  <c r="AC55" i="6"/>
  <c r="AC52" i="6"/>
  <c r="AO63" i="6"/>
  <c r="AO55" i="6"/>
  <c r="AO53" i="6"/>
  <c r="BA63" i="6"/>
  <c r="BA54" i="6"/>
  <c r="BA52" i="6"/>
  <c r="E52" i="6"/>
  <c r="AB52" i="6"/>
  <c r="F54" i="6"/>
  <c r="Q55" i="6"/>
  <c r="BH58" i="6"/>
  <c r="AK63" i="6"/>
  <c r="C130" i="6"/>
  <c r="P46" i="6"/>
  <c r="F5" i="8"/>
  <c r="E5" i="8"/>
  <c r="D5" i="8"/>
  <c r="F22" i="6"/>
  <c r="F15" i="6"/>
  <c r="L22" i="6"/>
  <c r="H15" i="6"/>
  <c r="O22" i="6"/>
  <c r="J15" i="6"/>
  <c r="K22" i="6"/>
  <c r="E15" i="6"/>
  <c r="J22" i="6"/>
  <c r="D15" i="6"/>
  <c r="I22" i="6"/>
  <c r="H22" i="6"/>
  <c r="O49" i="6"/>
  <c r="K49" i="6"/>
  <c r="J49" i="6"/>
  <c r="P49" i="6"/>
  <c r="N49" i="6"/>
  <c r="H49" i="6"/>
  <c r="G49" i="6"/>
  <c r="F49" i="6"/>
  <c r="E49" i="6"/>
  <c r="N58" i="6"/>
  <c r="N57" i="6"/>
  <c r="F12" i="9"/>
  <c r="F10" i="9"/>
  <c r="F11" i="9"/>
  <c r="G15" i="6"/>
  <c r="L15" i="6"/>
  <c r="E22" i="6"/>
  <c r="K41" i="6"/>
  <c r="J41" i="6"/>
  <c r="I41" i="6"/>
  <c r="H36" i="6"/>
  <c r="H41" i="6"/>
  <c r="G41" i="6"/>
  <c r="F48" i="6"/>
  <c r="F55" i="6"/>
  <c r="F53" i="6"/>
  <c r="R52" i="6"/>
  <c r="AD53" i="6"/>
  <c r="AD57" i="6" s="1"/>
  <c r="AD54" i="6"/>
  <c r="AD58" i="6" s="1"/>
  <c r="AD52" i="6"/>
  <c r="AD56" i="6" s="1"/>
  <c r="AP54" i="6"/>
  <c r="AP53" i="6"/>
  <c r="AP63" i="6"/>
  <c r="AP55" i="6"/>
  <c r="BB54" i="6"/>
  <c r="BB58" i="6" s="1"/>
  <c r="BB63" i="6"/>
  <c r="F52" i="6"/>
  <c r="R53" i="6"/>
  <c r="R55" i="6"/>
  <c r="M15" i="6"/>
  <c r="G22" i="6"/>
  <c r="J42" i="6"/>
  <c r="K42" i="6"/>
  <c r="I36" i="6"/>
  <c r="I42" i="6"/>
  <c r="M42" i="6"/>
  <c r="L42" i="6"/>
  <c r="G42" i="6"/>
  <c r="F42" i="6"/>
  <c r="E42" i="6"/>
  <c r="D42" i="6"/>
  <c r="K38" i="6"/>
  <c r="O42" i="6"/>
  <c r="G48" i="6"/>
  <c r="G55" i="6"/>
  <c r="G53" i="6"/>
  <c r="AE52" i="6"/>
  <c r="AQ53" i="6"/>
  <c r="AQ54" i="6"/>
  <c r="BC54" i="6"/>
  <c r="BC58" i="6" s="1"/>
  <c r="BC53" i="6"/>
  <c r="BC57" i="6" s="1"/>
  <c r="G52" i="6"/>
  <c r="AI12" i="6"/>
  <c r="AI59" i="6"/>
  <c r="S53" i="6"/>
  <c r="S57" i="6" s="1"/>
  <c r="O56" i="6"/>
  <c r="AQ63" i="6"/>
  <c r="M44" i="6"/>
  <c r="D46" i="6"/>
  <c r="I55" i="6"/>
  <c r="I54" i="6"/>
  <c r="U55" i="6"/>
  <c r="U53" i="6"/>
  <c r="AG63" i="6"/>
  <c r="AG52" i="6"/>
  <c r="AG56" i="6" s="1"/>
  <c r="BE53" i="6"/>
  <c r="BE55" i="6"/>
  <c r="I52" i="6"/>
  <c r="X53" i="6"/>
  <c r="U54" i="6"/>
  <c r="AS63" i="6"/>
  <c r="H46" i="6"/>
  <c r="L52" i="6"/>
  <c r="AA56" i="6"/>
  <c r="AS55" i="6"/>
  <c r="D14" i="7"/>
  <c r="G45" i="6"/>
  <c r="K45" i="6"/>
  <c r="J45" i="6"/>
  <c r="D45" i="6"/>
  <c r="K36" i="6"/>
  <c r="P44" i="6"/>
  <c r="O44" i="6"/>
  <c r="I53" i="6"/>
  <c r="AS53" i="6"/>
  <c r="AU57" i="6"/>
  <c r="AU56" i="6"/>
  <c r="AU58" i="6"/>
  <c r="F46" i="6"/>
  <c r="K46" i="6"/>
  <c r="J46" i="6"/>
  <c r="G46" i="6"/>
  <c r="E46" i="6"/>
  <c r="E45" i="6"/>
  <c r="L46" i="6"/>
  <c r="X55" i="6"/>
  <c r="X52" i="6"/>
  <c r="X54" i="6"/>
  <c r="AJ55" i="6"/>
  <c r="AJ52" i="6"/>
  <c r="AJ53" i="6"/>
  <c r="AV55" i="6"/>
  <c r="AV63" i="6"/>
  <c r="AV52" i="6"/>
  <c r="AV54" i="6"/>
  <c r="J44" i="6"/>
  <c r="AM63" i="6"/>
  <c r="AM54" i="6"/>
  <c r="AM58" i="6" s="1"/>
  <c r="AY55" i="6"/>
  <c r="AY52" i="6"/>
  <c r="BK53" i="6"/>
  <c r="BK57" i="6" s="1"/>
  <c r="BK63" i="6"/>
  <c r="BK52" i="6"/>
  <c r="BK56" i="6" s="1"/>
  <c r="C102" i="6"/>
  <c r="C129" i="6" s="1"/>
  <c r="C109" i="6"/>
  <c r="C131" i="6" s="1"/>
  <c r="C105" i="6"/>
  <c r="C15" i="8" s="1"/>
  <c r="I43" i="6"/>
  <c r="J43" i="6"/>
  <c r="J55" i="6"/>
  <c r="J54" i="6"/>
  <c r="V55" i="6"/>
  <c r="V54" i="6"/>
  <c r="AH63" i="6"/>
  <c r="AH55" i="6"/>
  <c r="AH54" i="6"/>
  <c r="AT63" i="6"/>
  <c r="AT55" i="6"/>
  <c r="AT54" i="6"/>
  <c r="BF63" i="6"/>
  <c r="BF55" i="6"/>
  <c r="BF54" i="6"/>
  <c r="BF53" i="6"/>
  <c r="J52" i="6"/>
  <c r="W52" i="6"/>
  <c r="W56" i="6" s="1"/>
  <c r="E86" i="6"/>
  <c r="D86" i="6"/>
  <c r="H44" i="6"/>
  <c r="K44" i="6"/>
  <c r="K52" i="6"/>
  <c r="C127" i="6"/>
  <c r="Q9" i="7"/>
  <c r="E7" i="8"/>
  <c r="F7" i="8"/>
  <c r="H14" i="6"/>
  <c r="N52" i="6"/>
  <c r="N56" i="6" s="1"/>
  <c r="Z52" i="6"/>
  <c r="Z56" i="6" s="1"/>
  <c r="AL52" i="6"/>
  <c r="AL56" i="6" s="1"/>
  <c r="AX52" i="6"/>
  <c r="AX56" i="6" s="1"/>
  <c r="Z53" i="6"/>
  <c r="Z57" i="6" s="1"/>
  <c r="C15" i="9"/>
  <c r="C19" i="9" s="1"/>
  <c r="C22" i="9" s="1"/>
  <c r="C16" i="9"/>
  <c r="C13" i="9"/>
  <c r="D11" i="9"/>
  <c r="E4" i="8"/>
  <c r="H86" i="6"/>
  <c r="D4" i="8"/>
  <c r="BG12" i="6" l="1"/>
  <c r="BA58" i="6"/>
  <c r="L56" i="6"/>
  <c r="D13" i="9"/>
  <c r="K57" i="6"/>
  <c r="AM59" i="6"/>
  <c r="K56" i="6"/>
  <c r="AE57" i="6"/>
  <c r="BH56" i="6"/>
  <c r="BH12" i="6" s="1"/>
  <c r="BA56" i="6"/>
  <c r="BA12" i="6" s="1"/>
  <c r="AE56" i="6"/>
  <c r="AE59" i="6" s="1"/>
  <c r="BJ58" i="6"/>
  <c r="BJ56" i="6"/>
  <c r="AL58" i="6"/>
  <c r="AL57" i="6"/>
  <c r="AA57" i="6"/>
  <c r="AA59" i="6" s="1"/>
  <c r="E14" i="9"/>
  <c r="E13" i="9"/>
  <c r="AE58" i="6"/>
  <c r="Z58" i="6"/>
  <c r="Z59" i="6" s="1"/>
  <c r="BG61" i="6"/>
  <c r="BG60" i="6"/>
  <c r="F8" i="8"/>
  <c r="P57" i="6"/>
  <c r="P56" i="6"/>
  <c r="P58" i="6"/>
  <c r="BF58" i="6"/>
  <c r="BF57" i="6"/>
  <c r="BF56" i="6"/>
  <c r="BK12" i="6"/>
  <c r="BK59" i="6"/>
  <c r="N12" i="6"/>
  <c r="N59" i="6"/>
  <c r="AK56" i="6"/>
  <c r="AK57" i="6"/>
  <c r="AK58" i="6"/>
  <c r="AA12" i="6"/>
  <c r="AG59" i="6"/>
  <c r="AG12" i="6"/>
  <c r="L40" i="6"/>
  <c r="J40" i="6"/>
  <c r="J11" i="6" s="1"/>
  <c r="I40" i="6"/>
  <c r="F40" i="6"/>
  <c r="P40" i="6"/>
  <c r="O40" i="6"/>
  <c r="N40" i="6"/>
  <c r="M40" i="6"/>
  <c r="H40" i="6"/>
  <c r="G36" i="6"/>
  <c r="G40" i="6"/>
  <c r="E40" i="6"/>
  <c r="D40" i="6"/>
  <c r="K40" i="6"/>
  <c r="BH59" i="6"/>
  <c r="T56" i="6"/>
  <c r="T57" i="6"/>
  <c r="T58" i="6"/>
  <c r="BB59" i="6"/>
  <c r="BB12" i="6"/>
  <c r="AI61" i="6"/>
  <c r="AI60" i="6"/>
  <c r="AI25" i="6" s="1"/>
  <c r="AI62" i="6"/>
  <c r="M58" i="6"/>
  <c r="M57" i="6"/>
  <c r="M56" i="6"/>
  <c r="BC59" i="6"/>
  <c r="BC12" i="6"/>
  <c r="BA59" i="6"/>
  <c r="AH58" i="6"/>
  <c r="AH57" i="6"/>
  <c r="AH56" i="6"/>
  <c r="AZ57" i="6"/>
  <c r="AZ56" i="6"/>
  <c r="AZ58" i="6"/>
  <c r="D56" i="6"/>
  <c r="D58" i="6"/>
  <c r="D57" i="6"/>
  <c r="X58" i="6"/>
  <c r="X57" i="6"/>
  <c r="X56" i="6"/>
  <c r="R56" i="6"/>
  <c r="R57" i="6"/>
  <c r="R58" i="6"/>
  <c r="J58" i="6"/>
  <c r="J57" i="6"/>
  <c r="J56" i="6"/>
  <c r="I58" i="6"/>
  <c r="I56" i="6"/>
  <c r="I57" i="6"/>
  <c r="AO58" i="6"/>
  <c r="AO56" i="6"/>
  <c r="AO57" i="6"/>
  <c r="AX12" i="6"/>
  <c r="AX59" i="6"/>
  <c r="P23" i="6"/>
  <c r="D23" i="6"/>
  <c r="P16" i="6"/>
  <c r="D16" i="6"/>
  <c r="K23" i="6"/>
  <c r="G16" i="6"/>
  <c r="O23" i="6"/>
  <c r="J16" i="6"/>
  <c r="F6" i="8"/>
  <c r="M23" i="6"/>
  <c r="H16" i="6"/>
  <c r="L23" i="6"/>
  <c r="F16" i="6"/>
  <c r="E6" i="8"/>
  <c r="J23" i="6"/>
  <c r="E16" i="6"/>
  <c r="D6" i="8"/>
  <c r="I23" i="6"/>
  <c r="H23" i="6"/>
  <c r="N16" i="6"/>
  <c r="M16" i="6"/>
  <c r="I16" i="6"/>
  <c r="N23" i="6"/>
  <c r="O16" i="6"/>
  <c r="G23" i="6"/>
  <c r="F23" i="6"/>
  <c r="L16" i="6"/>
  <c r="E23" i="6"/>
  <c r="K16" i="6"/>
  <c r="K12" i="6"/>
  <c r="K59" i="6"/>
  <c r="AS57" i="6"/>
  <c r="AS58" i="6"/>
  <c r="AS56" i="6"/>
  <c r="O12" i="6"/>
  <c r="O59" i="6"/>
  <c r="G56" i="6"/>
  <c r="G57" i="6"/>
  <c r="G58" i="6"/>
  <c r="F57" i="6"/>
  <c r="F56" i="6"/>
  <c r="F58" i="6"/>
  <c r="AT58" i="6"/>
  <c r="AT57" i="6"/>
  <c r="AT56" i="6"/>
  <c r="AV56" i="6"/>
  <c r="AV58" i="6"/>
  <c r="AV57" i="6"/>
  <c r="C15" i="6"/>
  <c r="L59" i="6"/>
  <c r="L12" i="6"/>
  <c r="AC58" i="6"/>
  <c r="AC57" i="6"/>
  <c r="AC56" i="6"/>
  <c r="BE58" i="6"/>
  <c r="BE57" i="6"/>
  <c r="BE56" i="6"/>
  <c r="AP58" i="6"/>
  <c r="AP57" i="6"/>
  <c r="AP56" i="6"/>
  <c r="Q57" i="6"/>
  <c r="Q56" i="6"/>
  <c r="Q58" i="6"/>
  <c r="Y58" i="6"/>
  <c r="Y57" i="6"/>
  <c r="Y56" i="6"/>
  <c r="AR57" i="6"/>
  <c r="AR58" i="6"/>
  <c r="AR56" i="6"/>
  <c r="AY58" i="6"/>
  <c r="AY56" i="6"/>
  <c r="AY57" i="6"/>
  <c r="BJ12" i="6"/>
  <c r="BJ59" i="6"/>
  <c r="D9" i="8"/>
  <c r="F9" i="8"/>
  <c r="E9" i="8"/>
  <c r="AJ57" i="6"/>
  <c r="AJ56" i="6"/>
  <c r="AJ58" i="6"/>
  <c r="AM12" i="6"/>
  <c r="C110" i="6"/>
  <c r="AD59" i="6"/>
  <c r="AD12" i="6"/>
  <c r="M39" i="6"/>
  <c r="J39" i="6"/>
  <c r="I39" i="6"/>
  <c r="I11" i="6" s="1"/>
  <c r="D39" i="6"/>
  <c r="D11" i="6" s="1"/>
  <c r="L39" i="6"/>
  <c r="K39" i="6"/>
  <c r="K11" i="6" s="1"/>
  <c r="H39" i="6"/>
  <c r="H11" i="6" s="1"/>
  <c r="H18" i="6" s="1"/>
  <c r="G39" i="6"/>
  <c r="G11" i="6" s="1"/>
  <c r="F36" i="6"/>
  <c r="P39" i="6"/>
  <c r="O39" i="6"/>
  <c r="N39" i="6"/>
  <c r="F39" i="6"/>
  <c r="E39" i="6"/>
  <c r="E11" i="6" s="1"/>
  <c r="AF57" i="6"/>
  <c r="AF56" i="6"/>
  <c r="AF58" i="6"/>
  <c r="W12" i="6"/>
  <c r="W59" i="6"/>
  <c r="D8" i="8"/>
  <c r="E8" i="8"/>
  <c r="F14" i="9"/>
  <c r="F13" i="9"/>
  <c r="BI57" i="6"/>
  <c r="BI56" i="6"/>
  <c r="BI58" i="6"/>
  <c r="H56" i="6"/>
  <c r="H57" i="6"/>
  <c r="H58" i="6"/>
  <c r="V58" i="6"/>
  <c r="V57" i="6"/>
  <c r="V56" i="6"/>
  <c r="E56" i="6"/>
  <c r="E57" i="6"/>
  <c r="E58" i="6"/>
  <c r="AW56" i="6"/>
  <c r="AW58" i="6"/>
  <c r="AW57" i="6"/>
  <c r="BG59" i="6"/>
  <c r="C22" i="6"/>
  <c r="AU12" i="6"/>
  <c r="AU59" i="6"/>
  <c r="U58" i="6"/>
  <c r="U57" i="6"/>
  <c r="U56" i="6"/>
  <c r="C107" i="6"/>
  <c r="AN56" i="6"/>
  <c r="AN57" i="6"/>
  <c r="AN58" i="6"/>
  <c r="AB58" i="6"/>
  <c r="AB56" i="6"/>
  <c r="AB57" i="6"/>
  <c r="C14" i="6"/>
  <c r="C133" i="6"/>
  <c r="BD58" i="6"/>
  <c r="BD56" i="6"/>
  <c r="BD57" i="6"/>
  <c r="S12" i="6"/>
  <c r="S59" i="6"/>
  <c r="AQ59" i="6"/>
  <c r="AQ12" i="6"/>
  <c r="BH60" i="6" l="1"/>
  <c r="BH61" i="6"/>
  <c r="AE12" i="6"/>
  <c r="F11" i="6"/>
  <c r="AL59" i="6"/>
  <c r="P11" i="6"/>
  <c r="P18" i="6" s="1"/>
  <c r="Z12" i="6"/>
  <c r="Z60" i="6" s="1"/>
  <c r="BG25" i="6"/>
  <c r="AL12" i="6"/>
  <c r="AL60" i="6" s="1"/>
  <c r="BH25" i="6"/>
  <c r="M11" i="6"/>
  <c r="M18" i="6" s="1"/>
  <c r="N11" i="6"/>
  <c r="N26" i="6" s="1"/>
  <c r="N12" i="7" s="1"/>
  <c r="O11" i="6"/>
  <c r="O4" i="7" s="1"/>
  <c r="L11" i="6"/>
  <c r="K4" i="7"/>
  <c r="K18" i="6"/>
  <c r="D4" i="7"/>
  <c r="D18" i="6"/>
  <c r="F4" i="7"/>
  <c r="J4" i="7"/>
  <c r="J18" i="6"/>
  <c r="AQ60" i="6"/>
  <c r="AQ61" i="6"/>
  <c r="AU61" i="6"/>
  <c r="AU60" i="6"/>
  <c r="AU25" i="6" s="1"/>
  <c r="BE12" i="6"/>
  <c r="BE59" i="6"/>
  <c r="K5" i="7"/>
  <c r="K61" i="6"/>
  <c r="K60" i="6"/>
  <c r="AX60" i="6"/>
  <c r="AX61" i="6"/>
  <c r="Y59" i="6"/>
  <c r="Y12" i="6"/>
  <c r="F59" i="6"/>
  <c r="F12" i="6"/>
  <c r="I4" i="7"/>
  <c r="AH59" i="6"/>
  <c r="AH12" i="6"/>
  <c r="P4" i="7"/>
  <c r="P26" i="6"/>
  <c r="P12" i="7" s="1"/>
  <c r="X59" i="6"/>
  <c r="X12" i="6"/>
  <c r="AI66" i="6"/>
  <c r="AI64" i="6"/>
  <c r="AI69" i="6"/>
  <c r="AI65" i="6"/>
  <c r="AI96" i="6" s="1"/>
  <c r="AI89" i="6"/>
  <c r="E4" i="7"/>
  <c r="S61" i="6"/>
  <c r="S60" i="6"/>
  <c r="S62" i="6" s="1"/>
  <c r="AN59" i="6"/>
  <c r="AN12" i="6"/>
  <c r="F18" i="6"/>
  <c r="G4" i="7"/>
  <c r="N63" i="6"/>
  <c r="C149" i="6"/>
  <c r="W63" i="6"/>
  <c r="AD63" i="6"/>
  <c r="AC63" i="6"/>
  <c r="S63" i="6"/>
  <c r="O63" i="6"/>
  <c r="L63" i="6"/>
  <c r="I63" i="6"/>
  <c r="K63" i="6"/>
  <c r="V63" i="6"/>
  <c r="U63" i="6"/>
  <c r="AA63" i="6"/>
  <c r="Z63" i="6"/>
  <c r="Y63" i="6"/>
  <c r="P63" i="6"/>
  <c r="J63" i="6"/>
  <c r="AB63" i="6"/>
  <c r="AE63" i="6"/>
  <c r="AF63" i="6"/>
  <c r="M63" i="6"/>
  <c r="Q63" i="6"/>
  <c r="X63" i="6"/>
  <c r="H63" i="6"/>
  <c r="T63" i="6"/>
  <c r="R63" i="6"/>
  <c r="H59" i="6"/>
  <c r="H12" i="6"/>
  <c r="C132" i="6"/>
  <c r="C111" i="6"/>
  <c r="BJ60" i="6"/>
  <c r="BJ61" i="6"/>
  <c r="BJ62" i="6" s="1"/>
  <c r="AV59" i="6"/>
  <c r="AV12" i="6"/>
  <c r="AG61" i="6"/>
  <c r="AG60" i="6"/>
  <c r="AE60" i="6"/>
  <c r="AE61" i="6"/>
  <c r="AE25" i="6" s="1"/>
  <c r="BD59" i="6"/>
  <c r="BD12" i="6"/>
  <c r="AW12" i="6"/>
  <c r="AW59" i="6"/>
  <c r="W60" i="6"/>
  <c r="W61" i="6"/>
  <c r="AM62" i="6"/>
  <c r="AM60" i="6"/>
  <c r="AM61" i="6"/>
  <c r="Q59" i="6"/>
  <c r="Q12" i="6"/>
  <c r="E18" i="6"/>
  <c r="G59" i="6"/>
  <c r="G12" i="6"/>
  <c r="I18" i="6"/>
  <c r="BA61" i="6"/>
  <c r="BA60" i="6"/>
  <c r="BA62" i="6" s="1"/>
  <c r="BI12" i="6"/>
  <c r="BI59" i="6"/>
  <c r="AC59" i="6"/>
  <c r="AC12" i="6"/>
  <c r="I59" i="6"/>
  <c r="I12" i="6"/>
  <c r="G18" i="6"/>
  <c r="AA60" i="6"/>
  <c r="AA61" i="6"/>
  <c r="AF59" i="6"/>
  <c r="AF12" i="6"/>
  <c r="AY12" i="6"/>
  <c r="AY59" i="6"/>
  <c r="O61" i="6"/>
  <c r="O60" i="6"/>
  <c r="O5" i="7"/>
  <c r="C16" i="6"/>
  <c r="D59" i="6"/>
  <c r="D12" i="6"/>
  <c r="BC61" i="6"/>
  <c r="BC60" i="6"/>
  <c r="BC62" i="6" s="1"/>
  <c r="BB61" i="6"/>
  <c r="BB60" i="6"/>
  <c r="BK61" i="6"/>
  <c r="BK60" i="6"/>
  <c r="BK62" i="6" s="1"/>
  <c r="C137" i="6"/>
  <c r="C135" i="6"/>
  <c r="U12" i="6"/>
  <c r="U59" i="6"/>
  <c r="AP12" i="6"/>
  <c r="AP59" i="6"/>
  <c r="Z61" i="6"/>
  <c r="AS59" i="6"/>
  <c r="AS12" i="6"/>
  <c r="J59" i="6"/>
  <c r="J12" i="6"/>
  <c r="BC25" i="6"/>
  <c r="BF59" i="6"/>
  <c r="BF12" i="6"/>
  <c r="BG62" i="6"/>
  <c r="E12" i="6"/>
  <c r="E59" i="6"/>
  <c r="AJ12" i="6"/>
  <c r="AJ59" i="6"/>
  <c r="L60" i="6"/>
  <c r="L5" i="7"/>
  <c r="L61" i="6"/>
  <c r="L25" i="6" s="1"/>
  <c r="C23" i="6"/>
  <c r="M59" i="6"/>
  <c r="M12" i="6"/>
  <c r="BH62" i="6"/>
  <c r="AD60" i="6"/>
  <c r="AD61" i="6"/>
  <c r="R12" i="6"/>
  <c r="R59" i="6"/>
  <c r="P12" i="6"/>
  <c r="P59" i="6"/>
  <c r="AO59" i="6"/>
  <c r="AO12" i="6"/>
  <c r="H4" i="7"/>
  <c r="AT59" i="6"/>
  <c r="AT12" i="6"/>
  <c r="N5" i="7"/>
  <c r="N61" i="6"/>
  <c r="N60" i="6"/>
  <c r="N25" i="6" s="1"/>
  <c r="AR12" i="6"/>
  <c r="AR59" i="6"/>
  <c r="AZ59" i="6"/>
  <c r="AZ12" i="6"/>
  <c r="AK59" i="6"/>
  <c r="AK12" i="6"/>
  <c r="AB12" i="6"/>
  <c r="AB59" i="6"/>
  <c r="V59" i="6"/>
  <c r="V12" i="6"/>
  <c r="T12" i="6"/>
  <c r="T59" i="6"/>
  <c r="M26" i="6" l="1"/>
  <c r="M12" i="7" s="1"/>
  <c r="AE62" i="6"/>
  <c r="W62" i="6"/>
  <c r="W69" i="6" s="1"/>
  <c r="N4" i="7"/>
  <c r="M4" i="7"/>
  <c r="C136" i="6"/>
  <c r="N18" i="6"/>
  <c r="N89" i="6" s="1"/>
  <c r="BA25" i="6"/>
  <c r="K26" i="6"/>
  <c r="K12" i="7" s="1"/>
  <c r="C145" i="6"/>
  <c r="O62" i="6"/>
  <c r="O69" i="6" s="1"/>
  <c r="K62" i="6"/>
  <c r="K69" i="6" s="1"/>
  <c r="J26" i="6"/>
  <c r="J12" i="7" s="1"/>
  <c r="BJ25" i="6"/>
  <c r="AA25" i="6"/>
  <c r="W25" i="6"/>
  <c r="AQ62" i="6"/>
  <c r="AQ66" i="6" s="1"/>
  <c r="E26" i="6"/>
  <c r="E12" i="7" s="1"/>
  <c r="L18" i="6"/>
  <c r="C18" i="6" s="1"/>
  <c r="F26" i="6"/>
  <c r="F12" i="7" s="1"/>
  <c r="BB25" i="6"/>
  <c r="L26" i="6"/>
  <c r="L12" i="7" s="1"/>
  <c r="L62" i="6"/>
  <c r="L69" i="6" s="1"/>
  <c r="BB62" i="6"/>
  <c r="BB69" i="6" s="1"/>
  <c r="AG25" i="6"/>
  <c r="I26" i="6"/>
  <c r="I12" i="7" s="1"/>
  <c r="L4" i="7"/>
  <c r="AD25" i="6"/>
  <c r="AX62" i="6"/>
  <c r="AX69" i="6" s="1"/>
  <c r="D26" i="6"/>
  <c r="D12" i="7" s="1"/>
  <c r="Z25" i="6"/>
  <c r="BK25" i="6"/>
  <c r="AL61" i="6"/>
  <c r="AL62" i="6" s="1"/>
  <c r="AL66" i="6" s="1"/>
  <c r="O26" i="6"/>
  <c r="O12" i="7" s="1"/>
  <c r="C11" i="6"/>
  <c r="C4" i="7" s="1"/>
  <c r="O25" i="6"/>
  <c r="O10" i="7" s="1"/>
  <c r="O18" i="6"/>
  <c r="AA62" i="6"/>
  <c r="AA66" i="6" s="1"/>
  <c r="G26" i="6"/>
  <c r="G12" i="7" s="1"/>
  <c r="S64" i="6"/>
  <c r="S65" i="6" s="1"/>
  <c r="S96" i="6" s="1"/>
  <c r="S66" i="6"/>
  <c r="S69" i="6"/>
  <c r="S89" i="6"/>
  <c r="BK64" i="6"/>
  <c r="BK65" i="6" s="1"/>
  <c r="BK96" i="6" s="1"/>
  <c r="BK69" i="6"/>
  <c r="BK66" i="6"/>
  <c r="BK89" i="6"/>
  <c r="AQ69" i="6"/>
  <c r="BC66" i="6"/>
  <c r="BC69" i="6"/>
  <c r="BC64" i="6"/>
  <c r="BC65" i="6" s="1"/>
  <c r="BC96" i="6" s="1"/>
  <c r="BC89" i="6"/>
  <c r="AL64" i="6"/>
  <c r="AL65" i="6" s="1"/>
  <c r="AL96" i="6" s="1"/>
  <c r="BJ64" i="6"/>
  <c r="BJ69" i="6"/>
  <c r="BJ65" i="6"/>
  <c r="BJ96" i="6" s="1"/>
  <c r="BJ66" i="6"/>
  <c r="BJ89" i="6"/>
  <c r="AX66" i="6"/>
  <c r="AX64" i="6"/>
  <c r="AX65" i="6" s="1"/>
  <c r="AX96" i="6" s="1"/>
  <c r="AX89" i="6"/>
  <c r="T61" i="6"/>
  <c r="T60" i="6"/>
  <c r="T25" i="6" s="1"/>
  <c r="I5" i="7"/>
  <c r="I60" i="6"/>
  <c r="I61" i="6"/>
  <c r="W64" i="6"/>
  <c r="W65" i="6" s="1"/>
  <c r="W96" i="6" s="1"/>
  <c r="W66" i="6"/>
  <c r="W89" i="6"/>
  <c r="AX25" i="6"/>
  <c r="J61" i="6"/>
  <c r="J60" i="6"/>
  <c r="J25" i="6" s="1"/>
  <c r="J10" i="7" s="1"/>
  <c r="J5" i="7"/>
  <c r="U60" i="6"/>
  <c r="U61" i="6"/>
  <c r="AY60" i="6"/>
  <c r="AY61" i="6"/>
  <c r="G60" i="6"/>
  <c r="G25" i="6" s="1"/>
  <c r="G10" i="7" s="1"/>
  <c r="G61" i="6"/>
  <c r="G5" i="7"/>
  <c r="AN61" i="6"/>
  <c r="AN60" i="6"/>
  <c r="AN62" i="6"/>
  <c r="K25" i="6"/>
  <c r="K10" i="7" s="1"/>
  <c r="AF61" i="6"/>
  <c r="AF60" i="6"/>
  <c r="AF62" i="6" s="1"/>
  <c r="AG62" i="6"/>
  <c r="AR60" i="6"/>
  <c r="AR61" i="6"/>
  <c r="AO61" i="6"/>
  <c r="AO60" i="6"/>
  <c r="AO25" i="6" s="1"/>
  <c r="AO62" i="6"/>
  <c r="AD62" i="6"/>
  <c r="AC61" i="6"/>
  <c r="AC60" i="6"/>
  <c r="AW60" i="6"/>
  <c r="AW62" i="6" s="1"/>
  <c r="AW61" i="6"/>
  <c r="AV61" i="6"/>
  <c r="AV60" i="6"/>
  <c r="AV62" i="6" s="1"/>
  <c r="S25" i="6"/>
  <c r="F5" i="7"/>
  <c r="F61" i="6"/>
  <c r="F60" i="6"/>
  <c r="F25" i="6" s="1"/>
  <c r="F10" i="7" s="1"/>
  <c r="AU62" i="6"/>
  <c r="N10" i="7"/>
  <c r="AJ60" i="6"/>
  <c r="AJ61" i="6"/>
  <c r="Q5" i="7"/>
  <c r="Q7" i="7" s="1"/>
  <c r="Q60" i="6"/>
  <c r="Q61" i="6"/>
  <c r="BD61" i="6"/>
  <c r="BD60" i="6"/>
  <c r="AH61" i="6"/>
  <c r="AH60" i="6"/>
  <c r="AH62" i="6" s="1"/>
  <c r="C138" i="6"/>
  <c r="C139" i="6" s="1"/>
  <c r="C140" i="6" s="1"/>
  <c r="C11" i="7" s="1"/>
  <c r="N62" i="6"/>
  <c r="BH66" i="6"/>
  <c r="BH89" i="6"/>
  <c r="BH69" i="6"/>
  <c r="BH64" i="6"/>
  <c r="BH65" i="6" s="1"/>
  <c r="BH96" i="6" s="1"/>
  <c r="D5" i="7"/>
  <c r="D61" i="6"/>
  <c r="D60" i="6"/>
  <c r="D62" i="6" s="1"/>
  <c r="C12" i="6"/>
  <c r="C5" i="7" s="1"/>
  <c r="AA69" i="6"/>
  <c r="AA64" i="6"/>
  <c r="AA65" i="6" s="1"/>
  <c r="AA96" i="6" s="1"/>
  <c r="AA89" i="6"/>
  <c r="X60" i="6"/>
  <c r="X61" i="6"/>
  <c r="X62" i="6"/>
  <c r="Y61" i="6"/>
  <c r="Y60" i="6"/>
  <c r="BE60" i="6"/>
  <c r="BE61" i="6"/>
  <c r="BE25" i="6" s="1"/>
  <c r="M5" i="7"/>
  <c r="M60" i="6"/>
  <c r="M61" i="6"/>
  <c r="E5" i="7"/>
  <c r="E7" i="7" s="1"/>
  <c r="E61" i="6"/>
  <c r="E60" i="6"/>
  <c r="E25" i="6" s="1"/>
  <c r="E10" i="7" s="1"/>
  <c r="E62" i="6"/>
  <c r="D25" i="6"/>
  <c r="BI61" i="6"/>
  <c r="BI60" i="6"/>
  <c r="BI25" i="6" s="1"/>
  <c r="AB61" i="6"/>
  <c r="AB62" i="6" s="1"/>
  <c r="AB60" i="6"/>
  <c r="P5" i="7"/>
  <c r="P60" i="6"/>
  <c r="P61" i="6"/>
  <c r="BG64" i="6"/>
  <c r="BG69" i="6"/>
  <c r="BG66" i="6"/>
  <c r="BG65" i="6"/>
  <c r="BG96" i="6" s="1"/>
  <c r="BG89" i="6"/>
  <c r="Z62" i="6"/>
  <c r="AQ25" i="6"/>
  <c r="AK60" i="6"/>
  <c r="AK61" i="6"/>
  <c r="AK25" i="6" s="1"/>
  <c r="AT61" i="6"/>
  <c r="AT60" i="6"/>
  <c r="AT25" i="6" s="1"/>
  <c r="BF61" i="6"/>
  <c r="BF60" i="6"/>
  <c r="AM25" i="6"/>
  <c r="L10" i="7"/>
  <c r="AP61" i="6"/>
  <c r="AP60" i="6"/>
  <c r="H60" i="6"/>
  <c r="H62" i="6" s="1"/>
  <c r="H61" i="6"/>
  <c r="H5" i="7"/>
  <c r="AI92" i="6"/>
  <c r="AI90" i="6"/>
  <c r="AN25" i="6"/>
  <c r="V61" i="6"/>
  <c r="V60" i="6"/>
  <c r="AS61" i="6"/>
  <c r="AS60" i="6"/>
  <c r="BA69" i="6"/>
  <c r="BA66" i="6"/>
  <c r="BA64" i="6"/>
  <c r="BA65" i="6" s="1"/>
  <c r="BA96" i="6" s="1"/>
  <c r="BA89" i="6"/>
  <c r="AM69" i="6"/>
  <c r="AM66" i="6"/>
  <c r="AM64" i="6"/>
  <c r="AM65" i="6" s="1"/>
  <c r="AM96" i="6" s="1"/>
  <c r="AM89" i="6"/>
  <c r="AE64" i="6"/>
  <c r="AE65" i="6" s="1"/>
  <c r="AE96" i="6" s="1"/>
  <c r="AE69" i="6"/>
  <c r="AE66" i="6"/>
  <c r="AE89" i="6"/>
  <c r="C112" i="6"/>
  <c r="C115" i="6" s="1"/>
  <c r="AZ60" i="6"/>
  <c r="AZ61" i="6"/>
  <c r="R5" i="7"/>
  <c r="R7" i="7" s="1"/>
  <c r="R61" i="6"/>
  <c r="R60" i="6"/>
  <c r="F10" i="8"/>
  <c r="E10" i="8"/>
  <c r="D10" i="8"/>
  <c r="P85" i="6"/>
  <c r="P29" i="6" s="1"/>
  <c r="P6" i="7" s="1"/>
  <c r="P7" i="7" s="1"/>
  <c r="E85" i="6"/>
  <c r="E29" i="6" s="1"/>
  <c r="E6" i="7" s="1"/>
  <c r="L24" i="6"/>
  <c r="L20" i="6" s="1"/>
  <c r="K85" i="6"/>
  <c r="K29" i="6" s="1"/>
  <c r="K6" i="7" s="1"/>
  <c r="K7" i="7" s="1"/>
  <c r="H85" i="6"/>
  <c r="H29" i="6" s="1"/>
  <c r="H6" i="7" s="1"/>
  <c r="H17" i="6"/>
  <c r="H13" i="6" s="1"/>
  <c r="K24" i="6"/>
  <c r="K20" i="6" s="1"/>
  <c r="G85" i="6"/>
  <c r="G29" i="6" s="1"/>
  <c r="G6" i="7" s="1"/>
  <c r="G17" i="6"/>
  <c r="G13" i="6" s="1"/>
  <c r="M85" i="6"/>
  <c r="M29" i="6" s="1"/>
  <c r="M6" i="7" s="1"/>
  <c r="L17" i="6"/>
  <c r="L13" i="6" s="1"/>
  <c r="J24" i="6"/>
  <c r="J20" i="6" s="1"/>
  <c r="F17" i="6"/>
  <c r="F13" i="6" s="1"/>
  <c r="P24" i="6"/>
  <c r="P20" i="6" s="1"/>
  <c r="I85" i="6"/>
  <c r="I29" i="6" s="1"/>
  <c r="I6" i="7" s="1"/>
  <c r="J17" i="6"/>
  <c r="J13" i="6" s="1"/>
  <c r="O24" i="6"/>
  <c r="O20" i="6" s="1"/>
  <c r="O85" i="6"/>
  <c r="O29" i="6" s="1"/>
  <c r="O6" i="7" s="1"/>
  <c r="O7" i="7" s="1"/>
  <c r="E24" i="6"/>
  <c r="E20" i="6" s="1"/>
  <c r="E17" i="6"/>
  <c r="E13" i="6" s="1"/>
  <c r="D85" i="6"/>
  <c r="D24" i="6"/>
  <c r="N24" i="6"/>
  <c r="N20" i="6" s="1"/>
  <c r="K17" i="6"/>
  <c r="K13" i="6" s="1"/>
  <c r="I24" i="6"/>
  <c r="I20" i="6" s="1"/>
  <c r="J85" i="6"/>
  <c r="J29" i="6" s="1"/>
  <c r="J6" i="7" s="1"/>
  <c r="D17" i="6"/>
  <c r="N85" i="6"/>
  <c r="N29" i="6" s="1"/>
  <c r="N6" i="7" s="1"/>
  <c r="N7" i="7" s="1"/>
  <c r="H24" i="6"/>
  <c r="H20" i="6" s="1"/>
  <c r="O17" i="6"/>
  <c r="O13" i="6" s="1"/>
  <c r="G24" i="6"/>
  <c r="G20" i="6" s="1"/>
  <c r="L85" i="6"/>
  <c r="L29" i="6" s="1"/>
  <c r="L6" i="7" s="1"/>
  <c r="P17" i="6"/>
  <c r="P13" i="6" s="1"/>
  <c r="F24" i="6"/>
  <c r="F20" i="6" s="1"/>
  <c r="N17" i="6"/>
  <c r="N13" i="6" s="1"/>
  <c r="F85" i="6"/>
  <c r="F29" i="6" s="1"/>
  <c r="F6" i="7" s="1"/>
  <c r="M17" i="6"/>
  <c r="M13" i="6" s="1"/>
  <c r="M24" i="6"/>
  <c r="M20" i="6" s="1"/>
  <c r="I17" i="6"/>
  <c r="I13" i="6" s="1"/>
  <c r="U25" i="6" l="1"/>
  <c r="AF25" i="6"/>
  <c r="M7" i="7"/>
  <c r="F7" i="7"/>
  <c r="G7" i="7"/>
  <c r="H7" i="7"/>
  <c r="K89" i="6"/>
  <c r="AB25" i="6"/>
  <c r="BD25" i="6"/>
  <c r="O64" i="6"/>
  <c r="O65" i="6" s="1"/>
  <c r="K64" i="6"/>
  <c r="K65" i="6" s="1"/>
  <c r="O89" i="6"/>
  <c r="AQ89" i="6"/>
  <c r="BB89" i="6"/>
  <c r="V25" i="6"/>
  <c r="R62" i="6"/>
  <c r="M62" i="6"/>
  <c r="M69" i="6" s="1"/>
  <c r="AP62" i="6"/>
  <c r="AP64" i="6" s="1"/>
  <c r="AP65" i="6" s="1"/>
  <c r="AP96" i="6" s="1"/>
  <c r="Y25" i="6"/>
  <c r="AQ64" i="6"/>
  <c r="AQ65" i="6" s="1"/>
  <c r="AQ96" i="6" s="1"/>
  <c r="AZ25" i="6"/>
  <c r="V62" i="6"/>
  <c r="V66" i="6" s="1"/>
  <c r="BB66" i="6"/>
  <c r="AW25" i="6"/>
  <c r="BF25" i="6"/>
  <c r="Y62" i="6"/>
  <c r="Y69" i="6" s="1"/>
  <c r="L89" i="6"/>
  <c r="H25" i="6"/>
  <c r="H10" i="7" s="1"/>
  <c r="T62" i="6"/>
  <c r="T66" i="6" s="1"/>
  <c r="L64" i="6"/>
  <c r="L65" i="6" s="1"/>
  <c r="L96" i="6" s="1"/>
  <c r="M25" i="6"/>
  <c r="M10" i="7" s="1"/>
  <c r="Q62" i="6"/>
  <c r="AR25" i="6"/>
  <c r="AV25" i="6"/>
  <c r="AL89" i="6"/>
  <c r="AL90" i="6" s="1"/>
  <c r="K96" i="6"/>
  <c r="L7" i="7"/>
  <c r="R25" i="6"/>
  <c r="R10" i="7" s="1"/>
  <c r="AS25" i="6"/>
  <c r="P25" i="6"/>
  <c r="P10" i="7" s="1"/>
  <c r="X25" i="6"/>
  <c r="AJ25" i="6"/>
  <c r="G62" i="6"/>
  <c r="G89" i="6" s="1"/>
  <c r="AL69" i="6"/>
  <c r="BB64" i="6"/>
  <c r="BB65" i="6" s="1"/>
  <c r="BB96" i="6" s="1"/>
  <c r="BE62" i="6"/>
  <c r="BE64" i="6" s="1"/>
  <c r="J7" i="7"/>
  <c r="AY62" i="6"/>
  <c r="AY69" i="6" s="1"/>
  <c r="I62" i="6"/>
  <c r="AZ62" i="6"/>
  <c r="AP25" i="6"/>
  <c r="AC62" i="6"/>
  <c r="U62" i="6"/>
  <c r="U66" i="6" s="1"/>
  <c r="I7" i="7"/>
  <c r="AL25" i="6"/>
  <c r="G69" i="6"/>
  <c r="G64" i="6"/>
  <c r="G65" i="6" s="1"/>
  <c r="G96" i="6" s="1"/>
  <c r="H69" i="6"/>
  <c r="H64" i="6"/>
  <c r="H65" i="6" s="1"/>
  <c r="H96" i="6" s="1"/>
  <c r="H89" i="6"/>
  <c r="AF64" i="6"/>
  <c r="AF69" i="6"/>
  <c r="AF65" i="6"/>
  <c r="AF96" i="6" s="1"/>
  <c r="AF66" i="6"/>
  <c r="AF89" i="6"/>
  <c r="AY89" i="6"/>
  <c r="I69" i="6"/>
  <c r="I64" i="6"/>
  <c r="I65" i="6"/>
  <c r="I96" i="6" s="1"/>
  <c r="I89" i="6"/>
  <c r="AC66" i="6"/>
  <c r="AC69" i="6"/>
  <c r="AC64" i="6"/>
  <c r="AC65" i="6" s="1"/>
  <c r="AC96" i="6" s="1"/>
  <c r="AC89" i="6"/>
  <c r="AH69" i="6"/>
  <c r="AH66" i="6"/>
  <c r="AH64" i="6"/>
  <c r="AH65" i="6" s="1"/>
  <c r="AH96" i="6" s="1"/>
  <c r="AH89" i="6"/>
  <c r="AV66" i="6"/>
  <c r="AV89" i="6"/>
  <c r="AV69" i="6"/>
  <c r="AV64" i="6"/>
  <c r="AV65" i="6" s="1"/>
  <c r="AV96" i="6" s="1"/>
  <c r="T69" i="6"/>
  <c r="T89" i="6"/>
  <c r="Q64" i="6"/>
  <c r="E87" i="6"/>
  <c r="R64" i="6"/>
  <c r="R65" i="6" s="1"/>
  <c r="R96" i="6" s="1"/>
  <c r="R69" i="6"/>
  <c r="R66" i="6"/>
  <c r="R89" i="6"/>
  <c r="O87" i="6"/>
  <c r="H87" i="6"/>
  <c r="Y66" i="6"/>
  <c r="AP66" i="6"/>
  <c r="AP69" i="6"/>
  <c r="BF62" i="6"/>
  <c r="P62" i="6"/>
  <c r="AC25" i="6"/>
  <c r="AR62" i="6"/>
  <c r="AN69" i="6"/>
  <c r="AN64" i="6"/>
  <c r="AN65" i="6" s="1"/>
  <c r="AN96" i="6" s="1"/>
  <c r="AN66" i="6"/>
  <c r="AN89" i="6"/>
  <c r="AX92" i="6"/>
  <c r="AX90" i="6"/>
  <c r="BK92" i="6"/>
  <c r="BK90" i="6"/>
  <c r="J87" i="6"/>
  <c r="BA92" i="6"/>
  <c r="BA90" i="6"/>
  <c r="AH25" i="6"/>
  <c r="BH92" i="6"/>
  <c r="BH90" i="6"/>
  <c r="J62" i="6"/>
  <c r="BB92" i="6"/>
  <c r="BB90" i="6"/>
  <c r="I87" i="6"/>
  <c r="C17" i="6"/>
  <c r="D13" i="6"/>
  <c r="AZ69" i="6"/>
  <c r="AZ66" i="6"/>
  <c r="AZ64" i="6"/>
  <c r="AZ89" i="6"/>
  <c r="AB66" i="6"/>
  <c r="AB69" i="6"/>
  <c r="AB64" i="6"/>
  <c r="AB65" i="6" s="1"/>
  <c r="AB96" i="6" s="1"/>
  <c r="AB89" i="6"/>
  <c r="BI62" i="6"/>
  <c r="AJ62" i="6"/>
  <c r="AG69" i="6"/>
  <c r="AG64" i="6"/>
  <c r="AG65" i="6" s="1"/>
  <c r="AG96" i="6" s="1"/>
  <c r="AG66" i="6"/>
  <c r="AG89" i="6"/>
  <c r="AE92" i="6"/>
  <c r="AE90" i="6"/>
  <c r="AS62" i="6"/>
  <c r="Z69" i="6"/>
  <c r="Z66" i="6"/>
  <c r="Z64" i="6"/>
  <c r="Z65" i="6" s="1"/>
  <c r="Z96" i="6" s="1"/>
  <c r="Z89" i="6"/>
  <c r="X69" i="6"/>
  <c r="X64" i="6"/>
  <c r="X65" i="6" s="1"/>
  <c r="X96" i="6" s="1"/>
  <c r="X66" i="6"/>
  <c r="X89" i="6"/>
  <c r="D64" i="6"/>
  <c r="D65" i="6" s="1"/>
  <c r="D69" i="6"/>
  <c r="N69" i="6"/>
  <c r="N64" i="6"/>
  <c r="N65" i="6"/>
  <c r="N96" i="6" s="1"/>
  <c r="M87" i="6"/>
  <c r="F87" i="6"/>
  <c r="AT62" i="6"/>
  <c r="BG92" i="6"/>
  <c r="BG90" i="6"/>
  <c r="E64" i="6"/>
  <c r="E65" i="6" s="1"/>
  <c r="E96" i="6" s="1"/>
  <c r="E69" i="6"/>
  <c r="AD66" i="6"/>
  <c r="AD69" i="6"/>
  <c r="AD64" i="6"/>
  <c r="AD65" i="6" s="1"/>
  <c r="AD96" i="6" s="1"/>
  <c r="AD89" i="6"/>
  <c r="W92" i="6"/>
  <c r="W90" i="6"/>
  <c r="K87" i="6"/>
  <c r="D10" i="7"/>
  <c r="BD62" i="6"/>
  <c r="AW66" i="6"/>
  <c r="AW69" i="6"/>
  <c r="AW64" i="6"/>
  <c r="AW65" i="6" s="1"/>
  <c r="AW96" i="6" s="1"/>
  <c r="AW89" i="6"/>
  <c r="AO66" i="6"/>
  <c r="AO69" i="6"/>
  <c r="AO64" i="6"/>
  <c r="AO65" i="6"/>
  <c r="AO96" i="6" s="1"/>
  <c r="AO89" i="6"/>
  <c r="O96" i="6"/>
  <c r="S92" i="6"/>
  <c r="S90" i="6"/>
  <c r="N87" i="6"/>
  <c r="L87" i="6"/>
  <c r="D89" i="6"/>
  <c r="C24" i="6"/>
  <c r="D20" i="6"/>
  <c r="AK62" i="6"/>
  <c r="C10" i="7"/>
  <c r="AU66" i="6"/>
  <c r="AU69" i="6"/>
  <c r="AU64" i="6"/>
  <c r="AU65" i="6" s="1"/>
  <c r="AU96" i="6" s="1"/>
  <c r="AU89" i="6"/>
  <c r="I25" i="6"/>
  <c r="I10" i="7" s="1"/>
  <c r="BC90" i="6"/>
  <c r="BC92" i="6"/>
  <c r="AQ90" i="6"/>
  <c r="AQ92" i="6"/>
  <c r="P87" i="6"/>
  <c r="D91" i="6"/>
  <c r="D29" i="6"/>
  <c r="G87" i="6"/>
  <c r="D19" i="6"/>
  <c r="E19" i="6" s="1"/>
  <c r="AM92" i="6"/>
  <c r="AM90" i="6"/>
  <c r="Q25" i="6"/>
  <c r="Q10" i="7" s="1"/>
  <c r="F62" i="6"/>
  <c r="AY25" i="6"/>
  <c r="BJ92" i="6"/>
  <c r="BJ90" i="6"/>
  <c r="AA92" i="6"/>
  <c r="AA90" i="6"/>
  <c r="E89" i="6"/>
  <c r="Q65" i="6" l="1"/>
  <c r="Q96" i="6" s="1"/>
  <c r="V69" i="6"/>
  <c r="BE66" i="6"/>
  <c r="L92" i="6"/>
  <c r="BE89" i="6"/>
  <c r="BE90" i="6" s="1"/>
  <c r="I92" i="6"/>
  <c r="AY64" i="6"/>
  <c r="AY65" i="6" s="1"/>
  <c r="AY96" i="6" s="1"/>
  <c r="V89" i="6"/>
  <c r="V92" i="6" s="1"/>
  <c r="AY66" i="6"/>
  <c r="AL92" i="6"/>
  <c r="BE65" i="6"/>
  <c r="BE96" i="6" s="1"/>
  <c r="BE69" i="6"/>
  <c r="AZ65" i="6"/>
  <c r="AZ96" i="6" s="1"/>
  <c r="V64" i="6"/>
  <c r="V65" i="6" s="1"/>
  <c r="V96" i="6" s="1"/>
  <c r="M89" i="6"/>
  <c r="M92" i="6" s="1"/>
  <c r="AP89" i="6"/>
  <c r="M64" i="6"/>
  <c r="M65" i="6" s="1"/>
  <c r="M96" i="6" s="1"/>
  <c r="Q66" i="6"/>
  <c r="E11" i="7"/>
  <c r="F19" i="6"/>
  <c r="F11" i="7" s="1"/>
  <c r="T64" i="6"/>
  <c r="T65" i="6" s="1"/>
  <c r="T96" i="6" s="1"/>
  <c r="Y89" i="6"/>
  <c r="Y90" i="6" s="1"/>
  <c r="U89" i="6"/>
  <c r="H92" i="6"/>
  <c r="C25" i="6"/>
  <c r="D96" i="6"/>
  <c r="Y64" i="6"/>
  <c r="Y65" i="6" s="1"/>
  <c r="Y96" i="6" s="1"/>
  <c r="Q89" i="6"/>
  <c r="Q90" i="6" s="1"/>
  <c r="U69" i="6"/>
  <c r="Q69" i="6"/>
  <c r="U64" i="6"/>
  <c r="U65" i="6" s="1"/>
  <c r="U96" i="6" s="1"/>
  <c r="AU92" i="6"/>
  <c r="AU90" i="6"/>
  <c r="C141" i="6"/>
  <c r="C20" i="6"/>
  <c r="N9" i="7"/>
  <c r="N90" i="6"/>
  <c r="AC92" i="6"/>
  <c r="AC90" i="6"/>
  <c r="O9" i="7"/>
  <c r="O90" i="6"/>
  <c r="AV92" i="6"/>
  <c r="AV90" i="6"/>
  <c r="G90" i="6"/>
  <c r="G9" i="7"/>
  <c r="BD69" i="6"/>
  <c r="BD66" i="6"/>
  <c r="BD64" i="6"/>
  <c r="BD65" i="6" s="1"/>
  <c r="BD96" i="6" s="1"/>
  <c r="BD89" i="6"/>
  <c r="K9" i="7"/>
  <c r="K90" i="6"/>
  <c r="F9" i="7"/>
  <c r="J69" i="6"/>
  <c r="J64" i="6"/>
  <c r="J65" i="6" s="1"/>
  <c r="J96" i="6" s="1"/>
  <c r="J89" i="6"/>
  <c r="J92" i="6" s="1"/>
  <c r="AT69" i="6"/>
  <c r="AT66" i="6"/>
  <c r="AT64" i="6"/>
  <c r="AT65" i="6" s="1"/>
  <c r="AT96" i="6" s="1"/>
  <c r="AT89" i="6"/>
  <c r="AJ66" i="6"/>
  <c r="AJ64" i="6"/>
  <c r="AJ65" i="6" s="1"/>
  <c r="AJ96" i="6" s="1"/>
  <c r="AJ69" i="6"/>
  <c r="AJ89" i="6"/>
  <c r="AZ92" i="6"/>
  <c r="AZ90" i="6"/>
  <c r="E91" i="6"/>
  <c r="F91" i="6" s="1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AG91" i="6" s="1"/>
  <c r="AH91" i="6" s="1"/>
  <c r="AI91" i="6" s="1"/>
  <c r="AJ91" i="6" s="1"/>
  <c r="AK91" i="6" s="1"/>
  <c r="AL91" i="6" s="1"/>
  <c r="AM91" i="6" s="1"/>
  <c r="AN91" i="6" s="1"/>
  <c r="AO91" i="6" s="1"/>
  <c r="AP91" i="6" s="1"/>
  <c r="AQ91" i="6" s="1"/>
  <c r="AR91" i="6" s="1"/>
  <c r="AS91" i="6" s="1"/>
  <c r="AT91" i="6" s="1"/>
  <c r="AU91" i="6" s="1"/>
  <c r="AV91" i="6" s="1"/>
  <c r="AW91" i="6" s="1"/>
  <c r="AX91" i="6" s="1"/>
  <c r="AY91" i="6" s="1"/>
  <c r="AZ91" i="6" s="1"/>
  <c r="BA91" i="6" s="1"/>
  <c r="BB91" i="6" s="1"/>
  <c r="BC91" i="6" s="1"/>
  <c r="BD91" i="6" s="1"/>
  <c r="BE91" i="6" s="1"/>
  <c r="BF91" i="6" s="1"/>
  <c r="BG91" i="6" s="1"/>
  <c r="BH91" i="6" s="1"/>
  <c r="BI91" i="6" s="1"/>
  <c r="BJ91" i="6" s="1"/>
  <c r="BK91" i="6" s="1"/>
  <c r="M9" i="7"/>
  <c r="M90" i="6"/>
  <c r="BI69" i="6"/>
  <c r="BI64" i="6"/>
  <c r="BI65" i="6"/>
  <c r="BI96" i="6" s="1"/>
  <c r="BI66" i="6"/>
  <c r="BI89" i="6"/>
  <c r="J9" i="7"/>
  <c r="AR64" i="6"/>
  <c r="AR65" i="6" s="1"/>
  <c r="AR96" i="6" s="1"/>
  <c r="AR69" i="6"/>
  <c r="AR66" i="6"/>
  <c r="AR89" i="6"/>
  <c r="F64" i="6"/>
  <c r="F65" i="6"/>
  <c r="F96" i="6" s="1"/>
  <c r="F69" i="6"/>
  <c r="F89" i="6"/>
  <c r="F92" i="6" s="1"/>
  <c r="AD92" i="6"/>
  <c r="AD90" i="6"/>
  <c r="Z92" i="6"/>
  <c r="Z90" i="6"/>
  <c r="AB92" i="6"/>
  <c r="AB90" i="6"/>
  <c r="T92" i="6"/>
  <c r="T90" i="6"/>
  <c r="P9" i="7"/>
  <c r="P69" i="6"/>
  <c r="P64" i="6"/>
  <c r="P65" i="6" s="1"/>
  <c r="P96" i="6" s="1"/>
  <c r="O92" i="6"/>
  <c r="BE92" i="6"/>
  <c r="G92" i="6"/>
  <c r="AK66" i="6"/>
  <c r="AK64" i="6"/>
  <c r="AK65" i="6" s="1"/>
  <c r="AK96" i="6" s="1"/>
  <c r="AK69" i="6"/>
  <c r="AK89" i="6"/>
  <c r="BF69" i="6"/>
  <c r="BF66" i="6"/>
  <c r="BF64" i="6"/>
  <c r="BF65" i="6" s="1"/>
  <c r="BF96" i="6" s="1"/>
  <c r="BF89" i="6"/>
  <c r="U92" i="6"/>
  <c r="U90" i="6"/>
  <c r="E92" i="6"/>
  <c r="D87" i="6"/>
  <c r="C13" i="6"/>
  <c r="D27" i="6"/>
  <c r="AP92" i="6"/>
  <c r="AP90" i="6"/>
  <c r="K92" i="6"/>
  <c r="L90" i="6"/>
  <c r="L9" i="7"/>
  <c r="AW92" i="6"/>
  <c r="AW90" i="6"/>
  <c r="Y92" i="6"/>
  <c r="N92" i="6"/>
  <c r="R92" i="6"/>
  <c r="R90" i="6"/>
  <c r="AF92" i="6"/>
  <c r="AF90" i="6"/>
  <c r="H90" i="6"/>
  <c r="H9" i="7"/>
  <c r="E9" i="7"/>
  <c r="E90" i="6"/>
  <c r="AY90" i="6"/>
  <c r="AY92" i="6"/>
  <c r="D6" i="7"/>
  <c r="D7" i="7" s="1"/>
  <c r="C29" i="6"/>
  <c r="AO92" i="6"/>
  <c r="AO90" i="6"/>
  <c r="V90" i="6"/>
  <c r="D11" i="7"/>
  <c r="AS64" i="6"/>
  <c r="AS69" i="6"/>
  <c r="AS65" i="6"/>
  <c r="AS96" i="6" s="1"/>
  <c r="AS66" i="6"/>
  <c r="AS89" i="6"/>
  <c r="AG92" i="6"/>
  <c r="AG90" i="6"/>
  <c r="X92" i="6"/>
  <c r="X90" i="6"/>
  <c r="I9" i="7"/>
  <c r="I90" i="6"/>
  <c r="AN92" i="6"/>
  <c r="AN90" i="6"/>
  <c r="AH92" i="6"/>
  <c r="AH90" i="6"/>
  <c r="G19" i="6" l="1"/>
  <c r="J90" i="6"/>
  <c r="C153" i="6"/>
  <c r="P89" i="6" s="1"/>
  <c r="P92" i="6" s="1"/>
  <c r="Q92" i="6"/>
  <c r="G11" i="7"/>
  <c r="D90" i="6"/>
  <c r="D93" i="6" s="1"/>
  <c r="D9" i="7"/>
  <c r="C142" i="6"/>
  <c r="D92" i="6"/>
  <c r="D30" i="6" s="1"/>
  <c r="D32" i="6" s="1"/>
  <c r="AT92" i="6"/>
  <c r="AT90" i="6"/>
  <c r="BI92" i="6"/>
  <c r="BI90" i="6"/>
  <c r="BD92" i="6"/>
  <c r="BD90" i="6"/>
  <c r="AJ92" i="6"/>
  <c r="AJ90" i="6"/>
  <c r="BF92" i="6"/>
  <c r="BF90" i="6"/>
  <c r="C23" i="7"/>
  <c r="C6" i="7"/>
  <c r="C7" i="7" s="1"/>
  <c r="AR92" i="6"/>
  <c r="AR90" i="6"/>
  <c r="AS92" i="6"/>
  <c r="AS90" i="6"/>
  <c r="F90" i="6"/>
  <c r="AK92" i="6"/>
  <c r="AK90" i="6"/>
  <c r="H19" i="6"/>
  <c r="P90" i="6" l="1"/>
  <c r="H11" i="7"/>
  <c r="C9" i="7"/>
  <c r="C143" i="6"/>
  <c r="D18" i="7"/>
  <c r="I19" i="6"/>
  <c r="J19" i="6"/>
  <c r="D13" i="7"/>
  <c r="D15" i="7" s="1"/>
  <c r="D17" i="7" s="1"/>
  <c r="D31" i="6"/>
  <c r="J11" i="7" l="1"/>
  <c r="K19" i="6"/>
  <c r="E88" i="6"/>
  <c r="D19" i="7"/>
  <c r="I11" i="7"/>
  <c r="L19" i="6"/>
  <c r="C16" i="8"/>
  <c r="L11" i="7" l="1"/>
  <c r="M19" i="6"/>
  <c r="E28" i="6"/>
  <c r="E30" i="6"/>
  <c r="E31" i="6"/>
  <c r="K11" i="7"/>
  <c r="F88" i="6" l="1"/>
  <c r="E19" i="7"/>
  <c r="E13" i="7"/>
  <c r="E14" i="7"/>
  <c r="E27" i="6"/>
  <c r="E93" i="6"/>
  <c r="M11" i="7"/>
  <c r="N19" i="6"/>
  <c r="E32" i="6" l="1"/>
  <c r="E15" i="7"/>
  <c r="E17" i="7" s="1"/>
  <c r="N11" i="7"/>
  <c r="O19" i="6"/>
  <c r="F30" i="6"/>
  <c r="F28" i="6"/>
  <c r="E18" i="7"/>
  <c r="F13" i="7" l="1"/>
  <c r="F31" i="6"/>
  <c r="O11" i="7"/>
  <c r="P19" i="6"/>
  <c r="F14" i="7"/>
  <c r="F27" i="6"/>
  <c r="F93" i="6"/>
  <c r="F18" i="7" l="1"/>
  <c r="F32" i="6"/>
  <c r="P11" i="7"/>
  <c r="Q19" i="6"/>
  <c r="F19" i="7"/>
  <c r="G88" i="6"/>
  <c r="F15" i="7"/>
  <c r="F17" i="7" s="1"/>
  <c r="Q11" i="7" l="1"/>
  <c r="R19" i="6"/>
  <c r="G30" i="6"/>
  <c r="G31" i="6" s="1"/>
  <c r="G28" i="6"/>
  <c r="R11" i="7" l="1"/>
  <c r="S19" i="6"/>
  <c r="H88" i="6"/>
  <c r="G19" i="7"/>
  <c r="G13" i="7"/>
  <c r="G14" i="7"/>
  <c r="G93" i="6"/>
  <c r="G27" i="6"/>
  <c r="G18" i="7" l="1"/>
  <c r="G15" i="7"/>
  <c r="G17" i="7" s="1"/>
  <c r="H30" i="6"/>
  <c r="H31" i="6" s="1"/>
  <c r="H28" i="6"/>
  <c r="T19" i="6"/>
  <c r="G32" i="6"/>
  <c r="U19" i="6" l="1"/>
  <c r="H19" i="7"/>
  <c r="I88" i="6"/>
  <c r="H14" i="7"/>
  <c r="H93" i="6"/>
  <c r="H13" i="7"/>
  <c r="I28" i="6" l="1"/>
  <c r="I30" i="6"/>
  <c r="I13" i="7" s="1"/>
  <c r="V19" i="6"/>
  <c r="H18" i="7"/>
  <c r="W19" i="6" l="1"/>
  <c r="I31" i="6"/>
  <c r="I14" i="7"/>
  <c r="I15" i="7" s="1"/>
  <c r="I17" i="7" s="1"/>
  <c r="I93" i="6"/>
  <c r="I18" i="7" s="1"/>
  <c r="I27" i="6"/>
  <c r="I32" i="6" s="1"/>
  <c r="I19" i="7" l="1"/>
  <c r="J88" i="6"/>
  <c r="X19" i="6"/>
  <c r="Y19" i="6" l="1"/>
  <c r="J30" i="6"/>
  <c r="J13" i="7" s="1"/>
  <c r="J28" i="6"/>
  <c r="J31" i="6" l="1"/>
  <c r="J14" i="7"/>
  <c r="J15" i="7" s="1"/>
  <c r="J17" i="7" s="1"/>
  <c r="J93" i="6"/>
  <c r="J18" i="7" s="1"/>
  <c r="J27" i="6"/>
  <c r="J32" i="6" s="1"/>
  <c r="Z19" i="6"/>
  <c r="AA19" i="6" l="1"/>
  <c r="J19" i="7"/>
  <c r="K88" i="6"/>
  <c r="K30" i="6" l="1"/>
  <c r="K13" i="7" s="1"/>
  <c r="K28" i="6"/>
  <c r="AB19" i="6"/>
  <c r="K31" i="6" l="1"/>
  <c r="AC19" i="6"/>
  <c r="K19" i="7"/>
  <c r="L88" i="6"/>
  <c r="K14" i="7"/>
  <c r="K93" i="6"/>
  <c r="K18" i="7" s="1"/>
  <c r="K27" i="6"/>
  <c r="K32" i="6" s="1"/>
  <c r="K15" i="7"/>
  <c r="K17" i="7" s="1"/>
  <c r="L30" i="6" l="1"/>
  <c r="L13" i="7" s="1"/>
  <c r="L28" i="6"/>
  <c r="L31" i="6"/>
  <c r="AD19" i="6"/>
  <c r="AE19" i="6" l="1"/>
  <c r="L19" i="7"/>
  <c r="M88" i="6"/>
  <c r="L14" i="7"/>
  <c r="L93" i="6"/>
  <c r="L18" i="7" s="1"/>
  <c r="L27" i="6"/>
  <c r="L32" i="6" s="1"/>
  <c r="L15" i="7"/>
  <c r="L17" i="7" s="1"/>
  <c r="M30" i="6" l="1"/>
  <c r="M13" i="7" s="1"/>
  <c r="M28" i="6"/>
  <c r="AF19" i="6"/>
  <c r="AG19" i="6" l="1"/>
  <c r="M14" i="7"/>
  <c r="M15" i="7" s="1"/>
  <c r="M17" i="7" s="1"/>
  <c r="M93" i="6"/>
  <c r="M18" i="7" s="1"/>
  <c r="M27" i="6"/>
  <c r="M32" i="6" s="1"/>
  <c r="M31" i="6"/>
  <c r="M19" i="7" l="1"/>
  <c r="N88" i="6"/>
  <c r="AH19" i="6"/>
  <c r="AI19" i="6" l="1"/>
  <c r="N30" i="6"/>
  <c r="N13" i="7" s="1"/>
  <c r="N28" i="6"/>
  <c r="N14" i="7" l="1"/>
  <c r="N15" i="7" s="1"/>
  <c r="N17" i="7" s="1"/>
  <c r="N93" i="6"/>
  <c r="N18" i="7" s="1"/>
  <c r="N27" i="6"/>
  <c r="N32" i="6" s="1"/>
  <c r="N31" i="6"/>
  <c r="AJ19" i="6"/>
  <c r="N19" i="7" l="1"/>
  <c r="O88" i="6"/>
  <c r="AK19" i="6"/>
  <c r="AL19" i="6" l="1"/>
  <c r="O30" i="6"/>
  <c r="O13" i="7" s="1"/>
  <c r="O28" i="6"/>
  <c r="O14" i="7" l="1"/>
  <c r="O15" i="7" s="1"/>
  <c r="O17" i="7" s="1"/>
  <c r="O93" i="6"/>
  <c r="O18" i="7" s="1"/>
  <c r="O27" i="6"/>
  <c r="O32" i="6" s="1"/>
  <c r="O31" i="6"/>
  <c r="AM19" i="6"/>
  <c r="O19" i="7" l="1"/>
  <c r="P88" i="6"/>
  <c r="AN19" i="6"/>
  <c r="AO19" i="6" l="1"/>
  <c r="P30" i="6"/>
  <c r="P13" i="7" s="1"/>
  <c r="P28" i="6"/>
  <c r="P14" i="7" l="1"/>
  <c r="P15" i="7" s="1"/>
  <c r="P17" i="7" s="1"/>
  <c r="P93" i="6"/>
  <c r="P18" i="7" s="1"/>
  <c r="P27" i="6"/>
  <c r="P32" i="6" s="1"/>
  <c r="P31" i="6"/>
  <c r="AP19" i="6"/>
  <c r="P19" i="7" l="1"/>
  <c r="Q88" i="6"/>
  <c r="AQ19" i="6"/>
  <c r="AR19" i="6" l="1"/>
  <c r="Q28" i="6"/>
  <c r="Q30" i="6"/>
  <c r="Q13" i="7" s="1"/>
  <c r="Q14" i="7" l="1"/>
  <c r="Q93" i="6"/>
  <c r="Q18" i="7" s="1"/>
  <c r="Q27" i="6"/>
  <c r="Q32" i="6" s="1"/>
  <c r="Q15" i="7"/>
  <c r="Q17" i="7" s="1"/>
  <c r="Q31" i="6"/>
  <c r="AS19" i="6"/>
  <c r="R88" i="6" l="1"/>
  <c r="Q19" i="7"/>
  <c r="AT19" i="6"/>
  <c r="AU19" i="6" l="1"/>
  <c r="R28" i="6"/>
  <c r="R30" i="6"/>
  <c r="R13" i="7" s="1"/>
  <c r="R14" i="7" l="1"/>
  <c r="R93" i="6"/>
  <c r="R18" i="7" s="1"/>
  <c r="R27" i="6"/>
  <c r="R32" i="6" s="1"/>
  <c r="R15" i="7"/>
  <c r="R17" i="7" s="1"/>
  <c r="R31" i="6"/>
  <c r="AV19" i="6"/>
  <c r="S88" i="6" l="1"/>
  <c r="R19" i="7"/>
  <c r="AW19" i="6"/>
  <c r="AX19" i="6" l="1"/>
  <c r="S30" i="6"/>
  <c r="S31" i="6" s="1"/>
  <c r="T88" i="6" s="1"/>
  <c r="S28" i="6"/>
  <c r="T28" i="6" l="1"/>
  <c r="T30" i="6"/>
  <c r="T31" i="6"/>
  <c r="U88" i="6" s="1"/>
  <c r="S93" i="6"/>
  <c r="S27" i="6"/>
  <c r="S32" i="6" s="1"/>
  <c r="AY19" i="6"/>
  <c r="AZ19" i="6" l="1"/>
  <c r="U28" i="6"/>
  <c r="U30" i="6"/>
  <c r="U31" i="6" s="1"/>
  <c r="V88" i="6" s="1"/>
  <c r="T93" i="6"/>
  <c r="T27" i="6"/>
  <c r="T32" i="6" s="1"/>
  <c r="V30" i="6" l="1"/>
  <c r="V28" i="6"/>
  <c r="V31" i="6"/>
  <c r="W88" i="6" s="1"/>
  <c r="U93" i="6"/>
  <c r="U27" i="6"/>
  <c r="U32" i="6" s="1"/>
  <c r="BA19" i="6"/>
  <c r="BB19" i="6" l="1"/>
  <c r="W30" i="6"/>
  <c r="W31" i="6" s="1"/>
  <c r="X88" i="6" s="1"/>
  <c r="W28" i="6"/>
  <c r="V93" i="6"/>
  <c r="V27" i="6"/>
  <c r="V32" i="6" s="1"/>
  <c r="X30" i="6" l="1"/>
  <c r="X31" i="6" s="1"/>
  <c r="Y88" i="6" s="1"/>
  <c r="X28" i="6"/>
  <c r="W93" i="6"/>
  <c r="W27" i="6"/>
  <c r="W32" i="6" s="1"/>
  <c r="BC19" i="6"/>
  <c r="BD19" i="6" l="1"/>
  <c r="X93" i="6"/>
  <c r="X27" i="6"/>
  <c r="X32" i="6" s="1"/>
  <c r="Y30" i="6"/>
  <c r="Y31" i="6"/>
  <c r="Z88" i="6" s="1"/>
  <c r="Y28" i="6"/>
  <c r="Z30" i="6" l="1"/>
  <c r="Z31" i="6" s="1"/>
  <c r="AA88" i="6" s="1"/>
  <c r="Z28" i="6"/>
  <c r="Y93" i="6"/>
  <c r="Y27" i="6"/>
  <c r="Y32" i="6" s="1"/>
  <c r="BE19" i="6"/>
  <c r="BF19" i="6" l="1"/>
  <c r="AA30" i="6"/>
  <c r="AA31" i="6" s="1"/>
  <c r="AB88" i="6" s="1"/>
  <c r="AA28" i="6"/>
  <c r="Z93" i="6"/>
  <c r="Z27" i="6"/>
  <c r="Z32" i="6" s="1"/>
  <c r="AB30" i="6" l="1"/>
  <c r="AB31" i="6" s="1"/>
  <c r="AC88" i="6" s="1"/>
  <c r="AB28" i="6"/>
  <c r="AA93" i="6"/>
  <c r="AA27" i="6"/>
  <c r="AA32" i="6" s="1"/>
  <c r="BG19" i="6"/>
  <c r="AC28" i="6" l="1"/>
  <c r="AC30" i="6"/>
  <c r="AC31" i="6" s="1"/>
  <c r="AD88" i="6" s="1"/>
  <c r="BH19" i="6"/>
  <c r="AB93" i="6"/>
  <c r="AB27" i="6"/>
  <c r="AB32" i="6" s="1"/>
  <c r="AD28" i="6" l="1"/>
  <c r="AD30" i="6"/>
  <c r="AD31" i="6" s="1"/>
  <c r="AE88" i="6" s="1"/>
  <c r="BI19" i="6"/>
  <c r="AC93" i="6"/>
  <c r="AC27" i="6"/>
  <c r="AC32" i="6" s="1"/>
  <c r="AE30" i="6" l="1"/>
  <c r="AE28" i="6"/>
  <c r="AE31" i="6"/>
  <c r="AF88" i="6" s="1"/>
  <c r="BJ19" i="6"/>
  <c r="AD93" i="6"/>
  <c r="AD27" i="6"/>
  <c r="AD32" i="6" s="1"/>
  <c r="BK19" i="6" l="1"/>
  <c r="AF28" i="6"/>
  <c r="AF30" i="6"/>
  <c r="AF31" i="6" s="1"/>
  <c r="AG88" i="6" s="1"/>
  <c r="AE93" i="6"/>
  <c r="AE27" i="6"/>
  <c r="AE32" i="6" s="1"/>
  <c r="AG28" i="6" l="1"/>
  <c r="AG30" i="6"/>
  <c r="AG31" i="6" s="1"/>
  <c r="AH88" i="6" s="1"/>
  <c r="AF93" i="6"/>
  <c r="AF27" i="6"/>
  <c r="AF32" i="6" s="1"/>
  <c r="C19" i="6"/>
  <c r="AH28" i="6" l="1"/>
  <c r="AH30" i="6"/>
  <c r="AH31" i="6" s="1"/>
  <c r="AI88" i="6" s="1"/>
  <c r="AG93" i="6"/>
  <c r="AG27" i="6"/>
  <c r="AG32" i="6" s="1"/>
  <c r="AI28" i="6" l="1"/>
  <c r="AI30" i="6"/>
  <c r="AI31" i="6" s="1"/>
  <c r="AJ88" i="6" s="1"/>
  <c r="AH93" i="6"/>
  <c r="AH27" i="6"/>
  <c r="AH32" i="6" s="1"/>
  <c r="AJ30" i="6" l="1"/>
  <c r="AJ28" i="6"/>
  <c r="AJ31" i="6"/>
  <c r="AK88" i="6" s="1"/>
  <c r="AI93" i="6"/>
  <c r="AI27" i="6"/>
  <c r="AI32" i="6" s="1"/>
  <c r="AK30" i="6" l="1"/>
  <c r="AK28" i="6"/>
  <c r="AK31" i="6"/>
  <c r="AL88" i="6" s="1"/>
  <c r="AJ93" i="6"/>
  <c r="AJ27" i="6"/>
  <c r="AJ32" i="6" s="1"/>
  <c r="AL28" i="6" l="1"/>
  <c r="AL30" i="6"/>
  <c r="AL31" i="6"/>
  <c r="AM88" i="6" s="1"/>
  <c r="AK93" i="6"/>
  <c r="AK27" i="6"/>
  <c r="AK32" i="6" s="1"/>
  <c r="AM30" i="6" l="1"/>
  <c r="AM31" i="6" s="1"/>
  <c r="AN88" i="6" s="1"/>
  <c r="AM28" i="6"/>
  <c r="AL93" i="6"/>
  <c r="AL27" i="6"/>
  <c r="AL32" i="6" s="1"/>
  <c r="AN30" i="6" l="1"/>
  <c r="AN31" i="6" s="1"/>
  <c r="AO88" i="6" s="1"/>
  <c r="AN28" i="6"/>
  <c r="AM93" i="6"/>
  <c r="AM27" i="6"/>
  <c r="AM32" i="6" s="1"/>
  <c r="AO30" i="6" l="1"/>
  <c r="AO31" i="6" s="1"/>
  <c r="AP88" i="6" s="1"/>
  <c r="AO28" i="6"/>
  <c r="AN93" i="6"/>
  <c r="AN27" i="6"/>
  <c r="AN32" i="6" s="1"/>
  <c r="AP30" i="6" l="1"/>
  <c r="AP31" i="6" s="1"/>
  <c r="AQ88" i="6" s="1"/>
  <c r="AP28" i="6"/>
  <c r="AO93" i="6"/>
  <c r="AO27" i="6"/>
  <c r="AO32" i="6" s="1"/>
  <c r="AQ30" i="6" l="1"/>
  <c r="AQ31" i="6" s="1"/>
  <c r="AR88" i="6" s="1"/>
  <c r="AQ28" i="6"/>
  <c r="AP93" i="6"/>
  <c r="AP27" i="6"/>
  <c r="AP32" i="6" s="1"/>
  <c r="AR28" i="6" l="1"/>
  <c r="AR30" i="6"/>
  <c r="AR31" i="6" s="1"/>
  <c r="AS88" i="6" s="1"/>
  <c r="AQ93" i="6"/>
  <c r="AQ27" i="6"/>
  <c r="AQ32" i="6" s="1"/>
  <c r="AS28" i="6" l="1"/>
  <c r="AS30" i="6"/>
  <c r="AS31" i="6" s="1"/>
  <c r="AT88" i="6" s="1"/>
  <c r="AR93" i="6"/>
  <c r="AR27" i="6"/>
  <c r="AR32" i="6" s="1"/>
  <c r="AT28" i="6" l="1"/>
  <c r="AT30" i="6"/>
  <c r="AT31" i="6" s="1"/>
  <c r="AU88" i="6" s="1"/>
  <c r="AS93" i="6"/>
  <c r="AS27" i="6"/>
  <c r="AS32" i="6" s="1"/>
  <c r="AU28" i="6" l="1"/>
  <c r="AU30" i="6"/>
  <c r="AU31" i="6" s="1"/>
  <c r="AV88" i="6" s="1"/>
  <c r="AT93" i="6"/>
  <c r="AT27" i="6"/>
  <c r="AT32" i="6" s="1"/>
  <c r="AV30" i="6" l="1"/>
  <c r="AV31" i="6" s="1"/>
  <c r="AW88" i="6" s="1"/>
  <c r="AV28" i="6"/>
  <c r="AU93" i="6"/>
  <c r="AU27" i="6"/>
  <c r="AU32" i="6" s="1"/>
  <c r="AW30" i="6" l="1"/>
  <c r="AW31" i="6" s="1"/>
  <c r="AX88" i="6" s="1"/>
  <c r="AW28" i="6"/>
  <c r="AV93" i="6"/>
  <c r="AV27" i="6"/>
  <c r="AV32" i="6" s="1"/>
  <c r="AW93" i="6" l="1"/>
  <c r="AW27" i="6"/>
  <c r="AW32" i="6" s="1"/>
  <c r="AX30" i="6"/>
  <c r="AX31" i="6"/>
  <c r="AY88" i="6" s="1"/>
  <c r="AX28" i="6"/>
  <c r="AX93" i="6" l="1"/>
  <c r="AX27" i="6"/>
  <c r="AX32" i="6" s="1"/>
  <c r="AY28" i="6"/>
  <c r="AY30" i="6"/>
  <c r="AY31" i="6" s="1"/>
  <c r="AZ88" i="6" s="1"/>
  <c r="AZ28" i="6" l="1"/>
  <c r="AZ30" i="6"/>
  <c r="AZ31" i="6" s="1"/>
  <c r="BA88" i="6" s="1"/>
  <c r="AY93" i="6"/>
  <c r="AY27" i="6"/>
  <c r="AY32" i="6" s="1"/>
  <c r="BA28" i="6" l="1"/>
  <c r="BA30" i="6"/>
  <c r="BA31" i="6" s="1"/>
  <c r="BB88" i="6" s="1"/>
  <c r="AZ93" i="6"/>
  <c r="AZ27" i="6"/>
  <c r="AZ32" i="6" s="1"/>
  <c r="BB30" i="6" l="1"/>
  <c r="BB31" i="6" s="1"/>
  <c r="BC88" i="6" s="1"/>
  <c r="BB28" i="6"/>
  <c r="BA93" i="6"/>
  <c r="BA27" i="6"/>
  <c r="BA32" i="6" s="1"/>
  <c r="BC30" i="6" l="1"/>
  <c r="BC31" i="6" s="1"/>
  <c r="BD88" i="6" s="1"/>
  <c r="BC28" i="6"/>
  <c r="BB93" i="6"/>
  <c r="BB27" i="6"/>
  <c r="BB32" i="6" s="1"/>
  <c r="BC93" i="6" l="1"/>
  <c r="BC27" i="6"/>
  <c r="BC32" i="6" s="1"/>
  <c r="BD30" i="6"/>
  <c r="BD31" i="6" s="1"/>
  <c r="BE88" i="6" s="1"/>
  <c r="BD28" i="6"/>
  <c r="BE28" i="6" l="1"/>
  <c r="BE30" i="6"/>
  <c r="BE31" i="6" s="1"/>
  <c r="BF88" i="6" s="1"/>
  <c r="BD93" i="6"/>
  <c r="BD27" i="6"/>
  <c r="BD32" i="6" s="1"/>
  <c r="BF28" i="6" l="1"/>
  <c r="BF30" i="6"/>
  <c r="BF31" i="6"/>
  <c r="BG88" i="6" s="1"/>
  <c r="BE93" i="6"/>
  <c r="BE27" i="6"/>
  <c r="BE32" i="6" s="1"/>
  <c r="BG30" i="6" l="1"/>
  <c r="BG31" i="6" s="1"/>
  <c r="BH88" i="6" s="1"/>
  <c r="BG28" i="6"/>
  <c r="BF93" i="6"/>
  <c r="BF27" i="6"/>
  <c r="BF32" i="6" s="1"/>
  <c r="BG93" i="6" l="1"/>
  <c r="BG27" i="6"/>
  <c r="BG32" i="6" s="1"/>
  <c r="BH30" i="6"/>
  <c r="BH28" i="6"/>
  <c r="BH31" i="6"/>
  <c r="BI88" i="6" s="1"/>
  <c r="BI30" i="6" l="1"/>
  <c r="BI31" i="6" s="1"/>
  <c r="BJ88" i="6" s="1"/>
  <c r="BI28" i="6"/>
  <c r="BH93" i="6"/>
  <c r="BH27" i="6"/>
  <c r="BH32" i="6" s="1"/>
  <c r="BJ30" i="6" l="1"/>
  <c r="BJ31" i="6" s="1"/>
  <c r="BK88" i="6" s="1"/>
  <c r="BJ28" i="6"/>
  <c r="BI93" i="6"/>
  <c r="BI27" i="6"/>
  <c r="BI32" i="6" s="1"/>
  <c r="BK30" i="6" l="1"/>
  <c r="C30" i="6" s="1"/>
  <c r="C13" i="7" s="1"/>
  <c r="BK28" i="6"/>
  <c r="BJ93" i="6"/>
  <c r="BJ27" i="6"/>
  <c r="BJ32" i="6" s="1"/>
  <c r="BK31" i="6" l="1"/>
  <c r="C31" i="6" s="1"/>
  <c r="BK93" i="6"/>
  <c r="C18" i="7" s="1"/>
  <c r="C28" i="6"/>
  <c r="C144" i="6"/>
  <c r="BK27" i="6"/>
  <c r="BK32" i="6" s="1"/>
  <c r="E11" i="8" l="1"/>
  <c r="E12" i="8" s="1"/>
  <c r="C14" i="7"/>
  <c r="F11" i="8"/>
  <c r="F12" i="8" s="1"/>
  <c r="D11" i="8"/>
  <c r="D12" i="8" s="1"/>
  <c r="C9" i="6"/>
  <c r="C148" i="6"/>
  <c r="C154" i="6" s="1"/>
  <c r="C147" i="6"/>
  <c r="C150" i="6" s="1"/>
  <c r="C146" i="6"/>
  <c r="H26" i="6" l="1"/>
  <c r="C152" i="6"/>
  <c r="C151" i="6"/>
  <c r="AU68" i="6"/>
  <c r="AU70" i="6" s="1"/>
  <c r="BC68" i="6"/>
  <c r="BC70" i="6" s="1"/>
  <c r="O68" i="6"/>
  <c r="O70" i="6" s="1"/>
  <c r="AX68" i="6"/>
  <c r="AX70" i="6" s="1"/>
  <c r="AG68" i="6"/>
  <c r="AG70" i="6" s="1"/>
  <c r="AN68" i="6"/>
  <c r="AN70" i="6" s="1"/>
  <c r="BK68" i="6"/>
  <c r="BK70" i="6" s="1"/>
  <c r="BI68" i="6"/>
  <c r="BI70" i="6" s="1"/>
  <c r="T68" i="6"/>
  <c r="T70" i="6" s="1"/>
  <c r="Y68" i="6"/>
  <c r="Y70" i="6" s="1"/>
  <c r="BA68" i="6"/>
  <c r="BA70" i="6" s="1"/>
  <c r="AP68" i="6"/>
  <c r="AP70" i="6" s="1"/>
  <c r="AV68" i="6"/>
  <c r="AV70" i="6" s="1"/>
  <c r="G68" i="6"/>
  <c r="G70" i="6" s="1"/>
  <c r="I68" i="6"/>
  <c r="I70" i="6" s="1"/>
  <c r="AL68" i="6"/>
  <c r="AL70" i="6" s="1"/>
  <c r="R68" i="6"/>
  <c r="R70" i="6" s="1"/>
  <c r="AR68" i="6"/>
  <c r="AR70" i="6" s="1"/>
  <c r="BG68" i="6"/>
  <c r="BG70" i="6" s="1"/>
  <c r="BD68" i="6"/>
  <c r="BD70" i="6" s="1"/>
  <c r="AE68" i="6"/>
  <c r="AE70" i="6" s="1"/>
  <c r="AI68" i="6"/>
  <c r="AI70" i="6" s="1"/>
  <c r="W68" i="6"/>
  <c r="W70" i="6" s="1"/>
  <c r="P68" i="6"/>
  <c r="P70" i="6" s="1"/>
  <c r="AD68" i="6"/>
  <c r="AD70" i="6" s="1"/>
  <c r="AZ68" i="6"/>
  <c r="AZ70" i="6" s="1"/>
  <c r="AB68" i="6"/>
  <c r="AB70" i="6" s="1"/>
  <c r="Z68" i="6"/>
  <c r="Z70" i="6" s="1"/>
  <c r="AW68" i="6"/>
  <c r="AW70" i="6" s="1"/>
  <c r="BF68" i="6"/>
  <c r="BF70" i="6" s="1"/>
  <c r="U68" i="6"/>
  <c r="U70" i="6" s="1"/>
  <c r="E68" i="6"/>
  <c r="E70" i="6" s="1"/>
  <c r="M68" i="6"/>
  <c r="M70" i="6" s="1"/>
  <c r="D68" i="6"/>
  <c r="D70" i="6" s="1"/>
  <c r="AT68" i="6"/>
  <c r="AT70" i="6" s="1"/>
  <c r="H68" i="6"/>
  <c r="H70" i="6" s="1"/>
  <c r="AH68" i="6"/>
  <c r="AH70" i="6" s="1"/>
  <c r="BB68" i="6"/>
  <c r="BB70" i="6" s="1"/>
  <c r="AS68" i="6"/>
  <c r="AS70" i="6" s="1"/>
  <c r="AK68" i="6"/>
  <c r="AK70" i="6" s="1"/>
  <c r="V68" i="6"/>
  <c r="V70" i="6" s="1"/>
  <c r="AM68" i="6"/>
  <c r="AM70" i="6" s="1"/>
  <c r="S68" i="6"/>
  <c r="S70" i="6" s="1"/>
  <c r="N68" i="6"/>
  <c r="N70" i="6" s="1"/>
  <c r="AC68" i="6"/>
  <c r="AC70" i="6" s="1"/>
  <c r="AY68" i="6"/>
  <c r="AY70" i="6" s="1"/>
  <c r="AJ68" i="6"/>
  <c r="AJ70" i="6" s="1"/>
  <c r="J68" i="6"/>
  <c r="J70" i="6" s="1"/>
  <c r="X68" i="6"/>
  <c r="X70" i="6" s="1"/>
  <c r="BJ68" i="6"/>
  <c r="BJ70" i="6" s="1"/>
  <c r="BE68" i="6"/>
  <c r="BE70" i="6" s="1"/>
  <c r="L68" i="6"/>
  <c r="L70" i="6" s="1"/>
  <c r="F68" i="6"/>
  <c r="F70" i="6" s="1"/>
  <c r="AO68" i="6"/>
  <c r="AO70" i="6" s="1"/>
  <c r="AA68" i="6"/>
  <c r="AA70" i="6" s="1"/>
  <c r="BH68" i="6"/>
  <c r="BH70" i="6" s="1"/>
  <c r="Q68" i="6"/>
  <c r="Q70" i="6" s="1"/>
  <c r="AQ68" i="6"/>
  <c r="AQ70" i="6" s="1"/>
  <c r="K68" i="6"/>
  <c r="K70" i="6" s="1"/>
  <c r="AF68" i="6"/>
  <c r="AF70" i="6" s="1"/>
  <c r="BH76" i="6" l="1"/>
  <c r="BH83" i="6"/>
  <c r="BI71" i="6" s="1"/>
  <c r="E83" i="6"/>
  <c r="F71" i="6" s="1"/>
  <c r="E76" i="6"/>
  <c r="BI76" i="6"/>
  <c r="BI83" i="6"/>
  <c r="BJ71" i="6" s="1"/>
  <c r="S83" i="6"/>
  <c r="T71" i="6" s="1"/>
  <c r="S76" i="6"/>
  <c r="U83" i="6"/>
  <c r="V71" i="6" s="1"/>
  <c r="U76" i="6"/>
  <c r="AO76" i="6"/>
  <c r="AO83" i="6"/>
  <c r="AP71" i="6" s="1"/>
  <c r="AM76" i="6"/>
  <c r="AM83" i="6"/>
  <c r="AN71" i="6" s="1"/>
  <c r="AR76" i="6"/>
  <c r="AR83" i="6"/>
  <c r="AS71" i="6" s="1"/>
  <c r="F83" i="6"/>
  <c r="G71" i="6" s="1"/>
  <c r="F76" i="6"/>
  <c r="V83" i="6"/>
  <c r="W71" i="6" s="1"/>
  <c r="V76" i="6"/>
  <c r="R83" i="6"/>
  <c r="S71" i="6" s="1"/>
  <c r="R76" i="6"/>
  <c r="L76" i="6"/>
  <c r="L83" i="6"/>
  <c r="M71" i="6" s="1"/>
  <c r="Z76" i="6"/>
  <c r="Z83" i="6"/>
  <c r="AA71" i="6" s="1"/>
  <c r="AX83" i="6"/>
  <c r="AY71" i="6" s="1"/>
  <c r="AX76" i="6"/>
  <c r="AS83" i="6"/>
  <c r="AT71" i="6" s="1"/>
  <c r="AS76" i="6"/>
  <c r="AB76" i="6"/>
  <c r="AB83" i="6"/>
  <c r="AC71" i="6" s="1"/>
  <c r="BJ83" i="6"/>
  <c r="BK71" i="6" s="1"/>
  <c r="BJ76" i="6"/>
  <c r="BB76" i="6"/>
  <c r="BB83" i="6"/>
  <c r="BC71" i="6" s="1"/>
  <c r="BC76" i="6"/>
  <c r="BC83" i="6"/>
  <c r="BD71" i="6" s="1"/>
  <c r="X83" i="6"/>
  <c r="Y71" i="6" s="1"/>
  <c r="X76" i="6"/>
  <c r="AV83" i="6"/>
  <c r="AW71" i="6" s="1"/>
  <c r="AV76" i="6"/>
  <c r="J83" i="6"/>
  <c r="K71" i="6" s="1"/>
  <c r="J76" i="6"/>
  <c r="H76" i="6"/>
  <c r="H83" i="6"/>
  <c r="I71" i="6" s="1"/>
  <c r="P83" i="6"/>
  <c r="Q71" i="6" s="1"/>
  <c r="P76" i="6"/>
  <c r="AP76" i="6"/>
  <c r="AP83" i="6"/>
  <c r="AQ71" i="6" s="1"/>
  <c r="K83" i="6"/>
  <c r="L71" i="6" s="1"/>
  <c r="K76" i="6"/>
  <c r="AJ83" i="6"/>
  <c r="AK71" i="6" s="1"/>
  <c r="AJ76" i="6"/>
  <c r="AT83" i="6"/>
  <c r="AU71" i="6" s="1"/>
  <c r="AT76" i="6"/>
  <c r="W76" i="6"/>
  <c r="W83" i="6"/>
  <c r="X71" i="6" s="1"/>
  <c r="BA83" i="6"/>
  <c r="BB71" i="6" s="1"/>
  <c r="BA76" i="6"/>
  <c r="U94" i="6"/>
  <c r="U95" i="6" s="1"/>
  <c r="AG94" i="6"/>
  <c r="AG95" i="6" s="1"/>
  <c r="W94" i="6"/>
  <c r="W95" i="6" s="1"/>
  <c r="AS94" i="6"/>
  <c r="AS95" i="6" s="1"/>
  <c r="AY94" i="6"/>
  <c r="AY95" i="6" s="1"/>
  <c r="E94" i="6"/>
  <c r="E95" i="6" s="1"/>
  <c r="O94" i="6"/>
  <c r="O95" i="6" s="1"/>
  <c r="V94" i="6"/>
  <c r="V95" i="6" s="1"/>
  <c r="BH94" i="6"/>
  <c r="BH95" i="6" s="1"/>
  <c r="AW94" i="6"/>
  <c r="AW95" i="6" s="1"/>
  <c r="AL94" i="6"/>
  <c r="AL95" i="6" s="1"/>
  <c r="BI94" i="6"/>
  <c r="BI95" i="6" s="1"/>
  <c r="AB94" i="6"/>
  <c r="AB95" i="6" s="1"/>
  <c r="R94" i="6"/>
  <c r="R95" i="6" s="1"/>
  <c r="F94" i="6"/>
  <c r="F95" i="6" s="1"/>
  <c r="AU94" i="6"/>
  <c r="AU95" i="6" s="1"/>
  <c r="BD94" i="6"/>
  <c r="BD95" i="6" s="1"/>
  <c r="Y94" i="6"/>
  <c r="Y95" i="6" s="1"/>
  <c r="AN94" i="6"/>
  <c r="AN95" i="6" s="1"/>
  <c r="I94" i="6"/>
  <c r="I95" i="6" s="1"/>
  <c r="AQ94" i="6"/>
  <c r="AQ95" i="6" s="1"/>
  <c r="AR94" i="6"/>
  <c r="AR95" i="6" s="1"/>
  <c r="L94" i="6"/>
  <c r="L95" i="6" s="1"/>
  <c r="BC94" i="6"/>
  <c r="BC95" i="6" s="1"/>
  <c r="J94" i="6"/>
  <c r="J95" i="6" s="1"/>
  <c r="AF94" i="6"/>
  <c r="AF95" i="6" s="1"/>
  <c r="AH94" i="6"/>
  <c r="AH95" i="6" s="1"/>
  <c r="BJ94" i="6"/>
  <c r="BJ95" i="6" s="1"/>
  <c r="BF94" i="6"/>
  <c r="BF95" i="6" s="1"/>
  <c r="T94" i="6"/>
  <c r="T95" i="6" s="1"/>
  <c r="P94" i="6"/>
  <c r="P95" i="6" s="1"/>
  <c r="AC94" i="6"/>
  <c r="AC95" i="6" s="1"/>
  <c r="X94" i="6"/>
  <c r="X95" i="6" s="1"/>
  <c r="H94" i="6"/>
  <c r="H95" i="6" s="1"/>
  <c r="AX94" i="6"/>
  <c r="AX95" i="6" s="1"/>
  <c r="AP94" i="6"/>
  <c r="AP95" i="6" s="1"/>
  <c r="AD94" i="6"/>
  <c r="AD95" i="6" s="1"/>
  <c r="AZ94" i="6"/>
  <c r="AZ95" i="6" s="1"/>
  <c r="AI94" i="6"/>
  <c r="AI95" i="6" s="1"/>
  <c r="AV94" i="6"/>
  <c r="AV95" i="6" s="1"/>
  <c r="AM94" i="6"/>
  <c r="AM95" i="6" s="1"/>
  <c r="S94" i="6"/>
  <c r="S95" i="6" s="1"/>
  <c r="BE94" i="6"/>
  <c r="BE95" i="6" s="1"/>
  <c r="BG94" i="6"/>
  <c r="BG95" i="6" s="1"/>
  <c r="N94" i="6"/>
  <c r="N95" i="6" s="1"/>
  <c r="Z94" i="6"/>
  <c r="Z95" i="6" s="1"/>
  <c r="BA94" i="6"/>
  <c r="BA95" i="6" s="1"/>
  <c r="D94" i="6"/>
  <c r="D95" i="6" s="1"/>
  <c r="AK94" i="6"/>
  <c r="AK95" i="6" s="1"/>
  <c r="AA94" i="6"/>
  <c r="AA95" i="6" s="1"/>
  <c r="G94" i="6"/>
  <c r="G95" i="6" s="1"/>
  <c r="K94" i="6"/>
  <c r="K95" i="6" s="1"/>
  <c r="M94" i="6"/>
  <c r="M95" i="6" s="1"/>
  <c r="AJ94" i="6"/>
  <c r="AJ95" i="6" s="1"/>
  <c r="Q94" i="6"/>
  <c r="Q95" i="6" s="1"/>
  <c r="BB94" i="6"/>
  <c r="BB95" i="6" s="1"/>
  <c r="AT94" i="6"/>
  <c r="AT95" i="6" s="1"/>
  <c r="AE94" i="6"/>
  <c r="AE95" i="6" s="1"/>
  <c r="AO94" i="6"/>
  <c r="AO95" i="6" s="1"/>
  <c r="BK94" i="6"/>
  <c r="BK95" i="6" s="1"/>
  <c r="N76" i="6"/>
  <c r="N83" i="6"/>
  <c r="O71" i="6" s="1"/>
  <c r="AA76" i="6"/>
  <c r="AA83" i="6"/>
  <c r="AB71" i="6" s="1"/>
  <c r="BK83" i="6"/>
  <c r="BK76" i="6"/>
  <c r="AN76" i="6"/>
  <c r="AN83" i="6"/>
  <c r="AO71" i="6" s="1"/>
  <c r="AW83" i="6"/>
  <c r="AX71" i="6" s="1"/>
  <c r="AW76" i="6"/>
  <c r="AK83" i="6"/>
  <c r="AL71" i="6" s="1"/>
  <c r="AK76" i="6"/>
  <c r="BE83" i="6"/>
  <c r="BF71" i="6" s="1"/>
  <c r="BE76" i="6"/>
  <c r="O83" i="6"/>
  <c r="P71" i="6" s="1"/>
  <c r="O76" i="6"/>
  <c r="AZ83" i="6"/>
  <c r="BA71" i="6" s="1"/>
  <c r="AZ76" i="6"/>
  <c r="AH83" i="6"/>
  <c r="AI71" i="6" s="1"/>
  <c r="AH76" i="6"/>
  <c r="AU76" i="6"/>
  <c r="AU83" i="6"/>
  <c r="AV71" i="6" s="1"/>
  <c r="AQ76" i="6"/>
  <c r="AQ83" i="6"/>
  <c r="AR71" i="6" s="1"/>
  <c r="D76" i="6"/>
  <c r="D83" i="6"/>
  <c r="E71" i="6" s="1"/>
  <c r="Y76" i="6"/>
  <c r="Y83" i="6"/>
  <c r="Z71" i="6" s="1"/>
  <c r="H12" i="7"/>
  <c r="H15" i="7" s="1"/>
  <c r="H17" i="7" s="1"/>
  <c r="C155" i="6"/>
  <c r="C26" i="6"/>
  <c r="H27" i="6"/>
  <c r="BD83" i="6"/>
  <c r="BE71" i="6" s="1"/>
  <c r="BD76" i="6"/>
  <c r="BG76" i="6"/>
  <c r="BG83" i="6"/>
  <c r="BH71" i="6" s="1"/>
  <c r="BF76" i="6"/>
  <c r="BF83" i="6"/>
  <c r="BG71" i="6" s="1"/>
  <c r="AG83" i="6"/>
  <c r="AH71" i="6" s="1"/>
  <c r="AG76" i="6"/>
  <c r="AL76" i="6"/>
  <c r="AL83" i="6"/>
  <c r="AM71" i="6" s="1"/>
  <c r="I83" i="6"/>
  <c r="J71" i="6" s="1"/>
  <c r="I76" i="6"/>
  <c r="G76" i="6"/>
  <c r="G83" i="6"/>
  <c r="H71" i="6" s="1"/>
  <c r="AD76" i="6"/>
  <c r="AD83" i="6"/>
  <c r="AE71" i="6" s="1"/>
  <c r="AF83" i="6"/>
  <c r="AG71" i="6" s="1"/>
  <c r="AF76" i="6"/>
  <c r="AY76" i="6"/>
  <c r="AY83" i="6"/>
  <c r="AZ71" i="6" s="1"/>
  <c r="AI83" i="6"/>
  <c r="AJ71" i="6" s="1"/>
  <c r="AI76" i="6"/>
  <c r="Q83" i="6"/>
  <c r="R71" i="6" s="1"/>
  <c r="Q76" i="6"/>
  <c r="AC76" i="6"/>
  <c r="AC83" i="6"/>
  <c r="AD71" i="6" s="1"/>
  <c r="M76" i="6"/>
  <c r="M83" i="6"/>
  <c r="N71" i="6" s="1"/>
  <c r="AE83" i="6"/>
  <c r="AF71" i="6" s="1"/>
  <c r="AE76" i="6"/>
  <c r="T83" i="6"/>
  <c r="U71" i="6" s="1"/>
  <c r="T76" i="6"/>
  <c r="H32" i="6" l="1"/>
  <c r="I5" i="13"/>
  <c r="J5" i="13"/>
  <c r="C27" i="6"/>
  <c r="G4" i="13"/>
  <c r="C12" i="7"/>
  <c r="C15" i="7" s="1"/>
  <c r="C17" i="7" s="1"/>
  <c r="C22" i="7"/>
  <c r="C24" i="7"/>
  <c r="C8" i="6"/>
  <c r="D77" i="6"/>
  <c r="D78" i="6"/>
  <c r="E75" i="6" s="1"/>
  <c r="E77" i="6" s="1"/>
  <c r="D82" i="6"/>
  <c r="C29" i="7" l="1"/>
  <c r="C25" i="7"/>
  <c r="D79" i="6"/>
  <c r="E74" i="6" s="1"/>
  <c r="K5" i="13"/>
  <c r="J6" i="13"/>
  <c r="I6" i="13"/>
  <c r="E4" i="13"/>
  <c r="C32" i="6"/>
  <c r="C5" i="13"/>
  <c r="B5" i="13"/>
  <c r="K6" i="13" l="1"/>
  <c r="I7" i="13"/>
  <c r="J7" i="13"/>
  <c r="L5" i="13"/>
  <c r="G5" i="13"/>
  <c r="E78" i="6"/>
  <c r="C28" i="7"/>
  <c r="C27" i="7"/>
  <c r="C26" i="7"/>
  <c r="D5" i="13"/>
  <c r="D80" i="6"/>
  <c r="E73" i="6" s="1"/>
  <c r="D81" i="6" l="1"/>
  <c r="E72" i="6" s="1"/>
  <c r="F5" i="13"/>
  <c r="E5" i="13"/>
  <c r="E82" i="6"/>
  <c r="E79" i="6"/>
  <c r="E80" i="6" s="1"/>
  <c r="F73" i="6" s="1"/>
  <c r="F75" i="6"/>
  <c r="F77" i="6" s="1"/>
  <c r="K7" i="13"/>
  <c r="I8" i="13"/>
  <c r="J8" i="13"/>
  <c r="F74" i="6"/>
  <c r="B6" i="13"/>
  <c r="C6" i="13"/>
  <c r="L6" i="13"/>
  <c r="G6" i="13"/>
  <c r="K8" i="13" l="1"/>
  <c r="I9" i="13"/>
  <c r="J9" i="13"/>
  <c r="L7" i="13"/>
  <c r="G7" i="13"/>
  <c r="F78" i="6"/>
  <c r="G75" i="6" s="1"/>
  <c r="G77" i="6" s="1"/>
  <c r="E81" i="6"/>
  <c r="F72" i="6" s="1"/>
  <c r="D6" i="13"/>
  <c r="C7" i="13"/>
  <c r="B7" i="13"/>
  <c r="K9" i="13" l="1"/>
  <c r="J10" i="13"/>
  <c r="I10" i="13"/>
  <c r="L8" i="13"/>
  <c r="G8" i="13"/>
  <c r="D7" i="13"/>
  <c r="B8" i="13"/>
  <c r="C8" i="13"/>
  <c r="F82" i="6"/>
  <c r="F79" i="6"/>
  <c r="F6" i="13"/>
  <c r="E6" i="13"/>
  <c r="K10" i="13" l="1"/>
  <c r="J11" i="13"/>
  <c r="I11" i="13"/>
  <c r="D8" i="13"/>
  <c r="C9" i="13"/>
  <c r="B9" i="13"/>
  <c r="F7" i="13"/>
  <c r="E7" i="13"/>
  <c r="L9" i="13"/>
  <c r="G9" i="13"/>
  <c r="G74" i="6"/>
  <c r="F80" i="6"/>
  <c r="D9" i="13" l="1"/>
  <c r="B10" i="13"/>
  <c r="C10" i="13"/>
  <c r="F8" i="13"/>
  <c r="E8" i="13"/>
  <c r="K11" i="13"/>
  <c r="I12" i="13"/>
  <c r="J12" i="13"/>
  <c r="G73" i="6"/>
  <c r="F81" i="6"/>
  <c r="G72" i="6" s="1"/>
  <c r="G78" i="6"/>
  <c r="L10" i="13"/>
  <c r="G10" i="13"/>
  <c r="K12" i="13" l="1"/>
  <c r="I13" i="13"/>
  <c r="J13" i="13"/>
  <c r="L11" i="13"/>
  <c r="G11" i="13"/>
  <c r="G79" i="6"/>
  <c r="G80" i="6" s="1"/>
  <c r="H75" i="6"/>
  <c r="H77" i="6" s="1"/>
  <c r="G82" i="6"/>
  <c r="H74" i="6"/>
  <c r="D10" i="13"/>
  <c r="B11" i="13"/>
  <c r="C11" i="13"/>
  <c r="F9" i="13"/>
  <c r="E9" i="13"/>
  <c r="G81" i="6" l="1"/>
  <c r="H72" i="6" s="1"/>
  <c r="H73" i="6"/>
  <c r="H78" i="6"/>
  <c r="I75" i="6" s="1"/>
  <c r="I77" i="6" s="1"/>
  <c r="D11" i="13"/>
  <c r="C12" i="13"/>
  <c r="B12" i="13"/>
  <c r="K13" i="13"/>
  <c r="I14" i="13"/>
  <c r="F10" i="13"/>
  <c r="E10" i="13"/>
  <c r="L12" i="13"/>
  <c r="G12" i="13"/>
  <c r="H79" i="6" l="1"/>
  <c r="D12" i="13"/>
  <c r="B13" i="13"/>
  <c r="C13" i="13"/>
  <c r="F11" i="13"/>
  <c r="E11" i="13"/>
  <c r="I74" i="6"/>
  <c r="L13" i="13"/>
  <c r="G13" i="13"/>
  <c r="H80" i="6"/>
  <c r="H81" i="6" s="1"/>
  <c r="I72" i="6" s="1"/>
  <c r="J14" i="13"/>
  <c r="K14" i="13" s="1"/>
  <c r="I73" i="6"/>
  <c r="H82" i="6"/>
  <c r="L14" i="13" l="1"/>
  <c r="G14" i="13"/>
  <c r="I15" i="13"/>
  <c r="J15" i="13"/>
  <c r="D13" i="13"/>
  <c r="B14" i="13"/>
  <c r="C14" i="13"/>
  <c r="I82" i="6"/>
  <c r="F12" i="13"/>
  <c r="E12" i="13"/>
  <c r="I78" i="6"/>
  <c r="K15" i="13" l="1"/>
  <c r="I16" i="13"/>
  <c r="J16" i="13"/>
  <c r="D14" i="13"/>
  <c r="C15" i="13"/>
  <c r="B15" i="13"/>
  <c r="F13" i="13"/>
  <c r="E13" i="13"/>
  <c r="I79" i="6"/>
  <c r="J74" i="6" s="1"/>
  <c r="I80" i="6"/>
  <c r="J73" i="6" s="1"/>
  <c r="J75" i="6"/>
  <c r="J77" i="6" s="1"/>
  <c r="J78" i="6" l="1"/>
  <c r="I81" i="6"/>
  <c r="J72" i="6" s="1"/>
  <c r="K75" i="6"/>
  <c r="K77" i="6" s="1"/>
  <c r="D15" i="13"/>
  <c r="C16" i="13" s="1"/>
  <c r="B16" i="13"/>
  <c r="F14" i="13"/>
  <c r="E14" i="13"/>
  <c r="K16" i="13"/>
  <c r="I17" i="13"/>
  <c r="J17" i="13"/>
  <c r="L15" i="13"/>
  <c r="G15" i="13"/>
  <c r="D16" i="13" l="1"/>
  <c r="B17" i="13"/>
  <c r="C17" i="13"/>
  <c r="J79" i="6"/>
  <c r="K74" i="6" s="1"/>
  <c r="F15" i="13"/>
  <c r="E15" i="13"/>
  <c r="K78" i="6"/>
  <c r="J82" i="6"/>
  <c r="K17" i="13"/>
  <c r="J18" i="13"/>
  <c r="I18" i="13"/>
  <c r="L16" i="13"/>
  <c r="G16" i="13"/>
  <c r="K18" i="13" l="1"/>
  <c r="J19" i="13"/>
  <c r="I19" i="13"/>
  <c r="L75" i="6"/>
  <c r="L77" i="6" s="1"/>
  <c r="D17" i="13"/>
  <c r="B18" i="13"/>
  <c r="C18" i="13"/>
  <c r="L17" i="13"/>
  <c r="G17" i="13"/>
  <c r="F16" i="13"/>
  <c r="E16" i="13"/>
  <c r="J80" i="6"/>
  <c r="D18" i="13" l="1"/>
  <c r="B19" i="13"/>
  <c r="C19" i="13"/>
  <c r="F17" i="13"/>
  <c r="E17" i="13"/>
  <c r="K19" i="13"/>
  <c r="I20" i="13"/>
  <c r="J20" i="13"/>
  <c r="L18" i="13"/>
  <c r="G18" i="13"/>
  <c r="J81" i="6"/>
  <c r="K72" i="6" s="1"/>
  <c r="K73" i="6"/>
  <c r="K20" i="13" l="1"/>
  <c r="I21" i="13"/>
  <c r="J21" i="13"/>
  <c r="L19" i="13"/>
  <c r="G19" i="13"/>
  <c r="K79" i="6"/>
  <c r="K82" i="6"/>
  <c r="D19" i="13"/>
  <c r="C20" i="13"/>
  <c r="B20" i="13"/>
  <c r="F18" i="13"/>
  <c r="E18" i="13"/>
  <c r="F19" i="13" l="1"/>
  <c r="E19" i="13"/>
  <c r="K80" i="6"/>
  <c r="L73" i="6" s="1"/>
  <c r="L74" i="6"/>
  <c r="D20" i="13"/>
  <c r="B21" i="13"/>
  <c r="C21" i="13"/>
  <c r="K21" i="13"/>
  <c r="I22" i="13"/>
  <c r="J22" i="13"/>
  <c r="L20" i="13"/>
  <c r="G20" i="13"/>
  <c r="D21" i="13" l="1"/>
  <c r="B22" i="13"/>
  <c r="C22" i="13"/>
  <c r="F20" i="13"/>
  <c r="E20" i="13"/>
  <c r="L78" i="6"/>
  <c r="K81" i="6"/>
  <c r="L72" i="6" s="1"/>
  <c r="K22" i="13"/>
  <c r="I23" i="13"/>
  <c r="J23" i="13"/>
  <c r="L21" i="13"/>
  <c r="G21" i="13"/>
  <c r="K23" i="13" l="1"/>
  <c r="J24" i="13"/>
  <c r="I24" i="13"/>
  <c r="L22" i="13"/>
  <c r="G22" i="13"/>
  <c r="L82" i="6"/>
  <c r="L79" i="6"/>
  <c r="M74" i="6" s="1"/>
  <c r="M75" i="6"/>
  <c r="M77" i="6" s="1"/>
  <c r="D22" i="13"/>
  <c r="F21" i="13"/>
  <c r="E21" i="13"/>
  <c r="F22" i="13" l="1"/>
  <c r="E22" i="13"/>
  <c r="M78" i="6"/>
  <c r="N75" i="6" s="1"/>
  <c r="N77" i="6" s="1"/>
  <c r="L80" i="6"/>
  <c r="M73" i="6" s="1"/>
  <c r="K24" i="13"/>
  <c r="I25" i="13"/>
  <c r="J25" i="13"/>
  <c r="C23" i="13"/>
  <c r="B23" i="13"/>
  <c r="L23" i="13"/>
  <c r="G23" i="13"/>
  <c r="L81" i="6" l="1"/>
  <c r="M72" i="6" s="1"/>
  <c r="K25" i="13"/>
  <c r="J26" i="13"/>
  <c r="I26" i="13"/>
  <c r="L24" i="13"/>
  <c r="G24" i="13"/>
  <c r="M82" i="6"/>
  <c r="M79" i="6"/>
  <c r="M80" i="6" s="1"/>
  <c r="N73" i="6" s="1"/>
  <c r="D23" i="13"/>
  <c r="B24" i="13"/>
  <c r="C24" i="13"/>
  <c r="N74" i="6" l="1"/>
  <c r="N78" i="6" s="1"/>
  <c r="N79" i="6" s="1"/>
  <c r="O74" i="6" s="1"/>
  <c r="O75" i="6"/>
  <c r="O77" i="6" s="1"/>
  <c r="D24" i="13"/>
  <c r="B25" i="13"/>
  <c r="C25" i="13"/>
  <c r="F23" i="13"/>
  <c r="E23" i="13"/>
  <c r="K26" i="13"/>
  <c r="I27" i="13"/>
  <c r="L25" i="13"/>
  <c r="G25" i="13"/>
  <c r="M81" i="6"/>
  <c r="N72" i="6" s="1"/>
  <c r="O78" i="6" l="1"/>
  <c r="L26" i="13"/>
  <c r="G26" i="13"/>
  <c r="D25" i="13"/>
  <c r="B26" i="13"/>
  <c r="F24" i="13"/>
  <c r="E24" i="13"/>
  <c r="P75" i="6"/>
  <c r="P77" i="6" s="1"/>
  <c r="N82" i="6"/>
  <c r="N80" i="6"/>
  <c r="N81" i="6" s="1"/>
  <c r="O72" i="6" s="1"/>
  <c r="J27" i="13"/>
  <c r="K27" i="13" s="1"/>
  <c r="L27" i="13" l="1"/>
  <c r="G27" i="13"/>
  <c r="J28" i="13"/>
  <c r="I28" i="13"/>
  <c r="O73" i="6"/>
  <c r="F25" i="13"/>
  <c r="E25" i="13"/>
  <c r="C26" i="13"/>
  <c r="D26" i="13" s="1"/>
  <c r="F26" i="13" l="1"/>
  <c r="E26" i="13"/>
  <c r="C27" i="13"/>
  <c r="B27" i="13"/>
  <c r="O79" i="6"/>
  <c r="K28" i="13"/>
  <c r="I29" i="13"/>
  <c r="J29" i="13"/>
  <c r="O82" i="6"/>
  <c r="K29" i="13" l="1"/>
  <c r="J30" i="13"/>
  <c r="I30" i="13"/>
  <c r="L28" i="13"/>
  <c r="G28" i="13"/>
  <c r="O80" i="6"/>
  <c r="P73" i="6" s="1"/>
  <c r="O81" i="6"/>
  <c r="P72" i="6" s="1"/>
  <c r="P74" i="6"/>
  <c r="D27" i="13"/>
  <c r="C28" i="13"/>
  <c r="B28" i="13"/>
  <c r="D28" i="13" l="1"/>
  <c r="B29" i="13"/>
  <c r="C29" i="13"/>
  <c r="K30" i="13"/>
  <c r="I31" i="13"/>
  <c r="J31" i="13"/>
  <c r="F27" i="13"/>
  <c r="E27" i="13"/>
  <c r="P78" i="6"/>
  <c r="P82" i="6"/>
  <c r="L29" i="13"/>
  <c r="G29" i="13"/>
  <c r="K31" i="13" l="1"/>
  <c r="I32" i="13"/>
  <c r="J32" i="13"/>
  <c r="L30" i="13"/>
  <c r="G30" i="13"/>
  <c r="P79" i="6"/>
  <c r="Q74" i="6" s="1"/>
  <c r="Q75" i="6"/>
  <c r="Q77" i="6" s="1"/>
  <c r="D29" i="13"/>
  <c r="C30" i="13"/>
  <c r="B30" i="13"/>
  <c r="F28" i="13"/>
  <c r="E28" i="13"/>
  <c r="P80" i="6" l="1"/>
  <c r="Q73" i="6" s="1"/>
  <c r="F29" i="13"/>
  <c r="E29" i="13"/>
  <c r="Q78" i="6"/>
  <c r="R75" i="6" s="1"/>
  <c r="R77" i="6" s="1"/>
  <c r="P81" i="6"/>
  <c r="Q72" i="6" s="1"/>
  <c r="D30" i="13"/>
  <c r="B31" i="13"/>
  <c r="C31" i="13"/>
  <c r="K32" i="13"/>
  <c r="I33" i="13"/>
  <c r="J33" i="13"/>
  <c r="L31" i="13"/>
  <c r="G31" i="13"/>
  <c r="Q79" i="6" l="1"/>
  <c r="R74" i="6" s="1"/>
  <c r="Q80" i="6"/>
  <c r="R73" i="6" s="1"/>
  <c r="D31" i="13"/>
  <c r="C32" i="13"/>
  <c r="B32" i="13"/>
  <c r="F30" i="13"/>
  <c r="E30" i="13"/>
  <c r="R78" i="6"/>
  <c r="Q82" i="6"/>
  <c r="K33" i="13"/>
  <c r="J34" i="13"/>
  <c r="I34" i="13"/>
  <c r="L32" i="13"/>
  <c r="G32" i="13"/>
  <c r="R79" i="6" l="1"/>
  <c r="D32" i="13"/>
  <c r="B33" i="13"/>
  <c r="C33" i="13"/>
  <c r="K34" i="13"/>
  <c r="J35" i="13"/>
  <c r="I35" i="13"/>
  <c r="F31" i="13"/>
  <c r="E31" i="13"/>
  <c r="L33" i="13"/>
  <c r="G33" i="13"/>
  <c r="S75" i="6"/>
  <c r="S77" i="6" s="1"/>
  <c r="Q81" i="6"/>
  <c r="R72" i="6" s="1"/>
  <c r="D33" i="13" l="1"/>
  <c r="C34" i="13"/>
  <c r="B34" i="13"/>
  <c r="F32" i="13"/>
  <c r="E32" i="13"/>
  <c r="R80" i="6"/>
  <c r="R81" i="6" s="1"/>
  <c r="S72" i="6" s="1"/>
  <c r="K35" i="13"/>
  <c r="J36" i="13"/>
  <c r="I36" i="13"/>
  <c r="L34" i="13"/>
  <c r="G34" i="13"/>
  <c r="S73" i="6"/>
  <c r="R82" i="6"/>
  <c r="S74" i="6"/>
  <c r="K36" i="13" l="1"/>
  <c r="J37" i="13"/>
  <c r="I37" i="13"/>
  <c r="D34" i="13"/>
  <c r="C35" i="13"/>
  <c r="B35" i="13"/>
  <c r="S82" i="6"/>
  <c r="L35" i="13"/>
  <c r="G35" i="13"/>
  <c r="S78" i="6"/>
  <c r="F33" i="13"/>
  <c r="E33" i="13"/>
  <c r="F34" i="13" l="1"/>
  <c r="E34" i="13"/>
  <c r="K37" i="13"/>
  <c r="J38" i="13"/>
  <c r="I38" i="13"/>
  <c r="S79" i="6"/>
  <c r="T74" i="6" s="1"/>
  <c r="T75" i="6"/>
  <c r="T77" i="6" s="1"/>
  <c r="D35" i="13"/>
  <c r="C36" i="13"/>
  <c r="B36" i="13"/>
  <c r="L36" i="13"/>
  <c r="G36" i="13"/>
  <c r="S80" i="6" l="1"/>
  <c r="D36" i="13"/>
  <c r="B37" i="13"/>
  <c r="C37" i="13"/>
  <c r="K38" i="13"/>
  <c r="J39" i="13"/>
  <c r="I39" i="13"/>
  <c r="L37" i="13"/>
  <c r="G37" i="13"/>
  <c r="F35" i="13"/>
  <c r="E35" i="13"/>
  <c r="T78" i="6"/>
  <c r="T73" i="6" l="1"/>
  <c r="T79" i="6" s="1"/>
  <c r="U74" i="6" s="1"/>
  <c r="S81" i="6"/>
  <c r="T72" i="6" s="1"/>
  <c r="T82" i="6" s="1"/>
  <c r="K39" i="13"/>
  <c r="I40" i="13"/>
  <c r="J40" i="13"/>
  <c r="L38" i="13"/>
  <c r="G38" i="13"/>
  <c r="U75" i="6"/>
  <c r="U77" i="6" s="1"/>
  <c r="D37" i="13"/>
  <c r="B38" i="13" s="1"/>
  <c r="C38" i="13"/>
  <c r="F36" i="13"/>
  <c r="E36" i="13"/>
  <c r="T80" i="6" l="1"/>
  <c r="D38" i="13"/>
  <c r="B39" i="13"/>
  <c r="C39" i="13"/>
  <c r="L39" i="13"/>
  <c r="G39" i="13"/>
  <c r="K40" i="13"/>
  <c r="J41" i="13"/>
  <c r="I41" i="13"/>
  <c r="F37" i="13"/>
  <c r="E37" i="13"/>
  <c r="U78" i="6"/>
  <c r="V75" i="6" l="1"/>
  <c r="V77" i="6" s="1"/>
  <c r="U73" i="6"/>
  <c r="U79" i="6" s="1"/>
  <c r="T81" i="6"/>
  <c r="U72" i="6" s="1"/>
  <c r="U82" i="6" s="1"/>
  <c r="K41" i="13"/>
  <c r="I42" i="13"/>
  <c r="J42" i="13"/>
  <c r="L40" i="13"/>
  <c r="G40" i="13"/>
  <c r="D39" i="13"/>
  <c r="B40" i="13" s="1"/>
  <c r="C40" i="13"/>
  <c r="F38" i="13"/>
  <c r="E38" i="13"/>
  <c r="U80" i="6" l="1"/>
  <c r="V73" i="6" s="1"/>
  <c r="V74" i="6"/>
  <c r="V78" i="6" s="1"/>
  <c r="V79" i="6"/>
  <c r="W74" i="6" s="1"/>
  <c r="K42" i="13"/>
  <c r="J43" i="13" s="1"/>
  <c r="I43" i="13"/>
  <c r="L41" i="13"/>
  <c r="G41" i="13"/>
  <c r="W75" i="6"/>
  <c r="W77" i="6" s="1"/>
  <c r="D40" i="13"/>
  <c r="C41" i="13"/>
  <c r="B41" i="13"/>
  <c r="F39" i="13"/>
  <c r="E39" i="13"/>
  <c r="U81" i="6"/>
  <c r="V72" i="6" s="1"/>
  <c r="D41" i="13" l="1"/>
  <c r="B42" i="13"/>
  <c r="C42" i="13"/>
  <c r="K43" i="13"/>
  <c r="I44" i="13" s="1"/>
  <c r="X75" i="6"/>
  <c r="X77" i="6" s="1"/>
  <c r="W73" i="6"/>
  <c r="V82" i="6"/>
  <c r="L42" i="13"/>
  <c r="G42" i="13"/>
  <c r="F40" i="13"/>
  <c r="E40" i="13"/>
  <c r="W78" i="6"/>
  <c r="V80" i="6"/>
  <c r="V81" i="6" s="1"/>
  <c r="W72" i="6" s="1"/>
  <c r="J44" i="13" l="1"/>
  <c r="K44" i="13" s="1"/>
  <c r="W82" i="6"/>
  <c r="L43" i="13"/>
  <c r="G43" i="13"/>
  <c r="D42" i="13"/>
  <c r="C43" i="13"/>
  <c r="B43" i="13"/>
  <c r="W79" i="6"/>
  <c r="F41" i="13"/>
  <c r="E41" i="13"/>
  <c r="I45" i="13" l="1"/>
  <c r="K45" i="13" s="1"/>
  <c r="J45" i="13"/>
  <c r="L44" i="13"/>
  <c r="G44" i="13"/>
  <c r="W80" i="6"/>
  <c r="X73" i="6" s="1"/>
  <c r="D43" i="13"/>
  <c r="B44" i="13"/>
  <c r="C44" i="13"/>
  <c r="F42" i="13"/>
  <c r="E42" i="13"/>
  <c r="X74" i="6"/>
  <c r="I46" i="13" l="1"/>
  <c r="K46" i="13" s="1"/>
  <c r="J46" i="13"/>
  <c r="D44" i="13"/>
  <c r="B45" i="13"/>
  <c r="C45" i="13"/>
  <c r="F43" i="13"/>
  <c r="E43" i="13"/>
  <c r="W81" i="6"/>
  <c r="X72" i="6" s="1"/>
  <c r="X78" i="6"/>
  <c r="L45" i="13"/>
  <c r="G45" i="13"/>
  <c r="J47" i="13" l="1"/>
  <c r="I47" i="13"/>
  <c r="K47" i="13" s="1"/>
  <c r="D45" i="13"/>
  <c r="C46" i="13"/>
  <c r="B46" i="13"/>
  <c r="F44" i="13"/>
  <c r="E44" i="13"/>
  <c r="X79" i="6"/>
  <c r="Y74" i="6" s="1"/>
  <c r="Y75" i="6"/>
  <c r="Y77" i="6" s="1"/>
  <c r="X82" i="6"/>
  <c r="L46" i="13"/>
  <c r="G46" i="13"/>
  <c r="L47" i="13" l="1"/>
  <c r="G47" i="13"/>
  <c r="X80" i="6"/>
  <c r="Y73" i="6" s="1"/>
  <c r="D46" i="13"/>
  <c r="B47" i="13"/>
  <c r="C47" i="13"/>
  <c r="I48" i="13"/>
  <c r="Y78" i="6"/>
  <c r="Y79" i="6" s="1"/>
  <c r="J48" i="13"/>
  <c r="F45" i="13"/>
  <c r="E45" i="13"/>
  <c r="K48" i="13" l="1"/>
  <c r="I49" i="13"/>
  <c r="J49" i="13"/>
  <c r="X81" i="6"/>
  <c r="Y72" i="6" s="1"/>
  <c r="Z74" i="6"/>
  <c r="Z75" i="6"/>
  <c r="Z77" i="6" s="1"/>
  <c r="D47" i="13"/>
  <c r="B48" i="13"/>
  <c r="C48" i="13"/>
  <c r="F46" i="13"/>
  <c r="E46" i="13"/>
  <c r="K49" i="13" l="1"/>
  <c r="I50" i="13"/>
  <c r="J50" i="13"/>
  <c r="L48" i="13"/>
  <c r="G48" i="13"/>
  <c r="D48" i="13"/>
  <c r="B49" i="13"/>
  <c r="C49" i="13"/>
  <c r="F47" i="13"/>
  <c r="E47" i="13"/>
  <c r="Z78" i="6"/>
  <c r="Y82" i="6"/>
  <c r="Y80" i="6"/>
  <c r="Y81" i="6" s="1"/>
  <c r="Z72" i="6" s="1"/>
  <c r="D49" i="13" l="1"/>
  <c r="C50" i="13"/>
  <c r="B50" i="13"/>
  <c r="F48" i="13"/>
  <c r="E48" i="13"/>
  <c r="Z73" i="6"/>
  <c r="AA75" i="6"/>
  <c r="AA77" i="6" s="1"/>
  <c r="Z79" i="6"/>
  <c r="K50" i="13"/>
  <c r="L49" i="13"/>
  <c r="G49" i="13"/>
  <c r="L50" i="13" l="1"/>
  <c r="G50" i="13"/>
  <c r="AA74" i="6"/>
  <c r="Z82" i="6"/>
  <c r="D50" i="13"/>
  <c r="C51" i="13"/>
  <c r="B51" i="13"/>
  <c r="J51" i="13"/>
  <c r="F49" i="13"/>
  <c r="E49" i="13"/>
  <c r="I51" i="13"/>
  <c r="Z80" i="6"/>
  <c r="AA73" i="6" s="1"/>
  <c r="K51" i="13" l="1"/>
  <c r="I52" i="13"/>
  <c r="J52" i="13"/>
  <c r="Z81" i="6"/>
  <c r="AA72" i="6" s="1"/>
  <c r="D51" i="13"/>
  <c r="C52" i="13"/>
  <c r="B52" i="13"/>
  <c r="F50" i="13"/>
  <c r="E50" i="13"/>
  <c r="AA78" i="6"/>
  <c r="AA79" i="6" l="1"/>
  <c r="AB74" i="6" s="1"/>
  <c r="AB75" i="6"/>
  <c r="AB77" i="6" s="1"/>
  <c r="F51" i="13"/>
  <c r="E51" i="13"/>
  <c r="D52" i="13"/>
  <c r="C53" i="13"/>
  <c r="B53" i="13"/>
  <c r="AA82" i="6"/>
  <c r="K52" i="13"/>
  <c r="I53" i="13" s="1"/>
  <c r="L51" i="13"/>
  <c r="G51" i="13"/>
  <c r="AA80" i="6" l="1"/>
  <c r="AB73" i="6" s="1"/>
  <c r="F52" i="13"/>
  <c r="E52" i="13"/>
  <c r="D53" i="13"/>
  <c r="C54" i="13"/>
  <c r="B54" i="13"/>
  <c r="L52" i="13"/>
  <c r="G52" i="13"/>
  <c r="AB78" i="6"/>
  <c r="AC75" i="6" s="1"/>
  <c r="AC77" i="6" s="1"/>
  <c r="J53" i="13"/>
  <c r="K53" i="13" s="1"/>
  <c r="AA81" i="6" l="1"/>
  <c r="AB72" i="6" s="1"/>
  <c r="AB82" i="6" s="1"/>
  <c r="L53" i="13"/>
  <c r="G53" i="13"/>
  <c r="I54" i="13"/>
  <c r="J54" i="13"/>
  <c r="F53" i="13"/>
  <c r="E53" i="13"/>
  <c r="AB79" i="6"/>
  <c r="AC74" i="6" s="1"/>
  <c r="AC78" i="6" s="1"/>
  <c r="D54" i="13"/>
  <c r="B55" i="13"/>
  <c r="C55" i="13"/>
  <c r="K54" i="13" l="1"/>
  <c r="J55" i="13"/>
  <c r="I55" i="13"/>
  <c r="AB80" i="6"/>
  <c r="AC73" i="6" s="1"/>
  <c r="D55" i="13"/>
  <c r="C56" i="13"/>
  <c r="B56" i="13"/>
  <c r="F54" i="13"/>
  <c r="E54" i="13"/>
  <c r="AD75" i="6"/>
  <c r="AD77" i="6" s="1"/>
  <c r="AB81" i="6" l="1"/>
  <c r="AC72" i="6" s="1"/>
  <c r="D56" i="13"/>
  <c r="B57" i="13"/>
  <c r="C57" i="13"/>
  <c r="L54" i="13"/>
  <c r="G54" i="13"/>
  <c r="K55" i="13"/>
  <c r="J56" i="13"/>
  <c r="I56" i="13"/>
  <c r="F55" i="13"/>
  <c r="E55" i="13"/>
  <c r="AC82" i="6"/>
  <c r="AC79" i="6"/>
  <c r="K56" i="13" l="1"/>
  <c r="I57" i="13"/>
  <c r="J57" i="13"/>
  <c r="AC80" i="6"/>
  <c r="AD73" i="6" s="1"/>
  <c r="L55" i="13"/>
  <c r="G55" i="13"/>
  <c r="AD74" i="6"/>
  <c r="D57" i="13"/>
  <c r="B58" i="13"/>
  <c r="C58" i="13"/>
  <c r="F56" i="13"/>
  <c r="E56" i="13"/>
  <c r="AC81" i="6" l="1"/>
  <c r="AD72" i="6" s="1"/>
  <c r="K57" i="13"/>
  <c r="J58" i="13"/>
  <c r="I58" i="13"/>
  <c r="D58" i="13"/>
  <c r="B59" i="13"/>
  <c r="C59" i="13"/>
  <c r="F57" i="13"/>
  <c r="E57" i="13"/>
  <c r="AD78" i="6"/>
  <c r="L56" i="13"/>
  <c r="G56" i="13"/>
  <c r="AD79" i="6" l="1"/>
  <c r="AE74" i="6" s="1"/>
  <c r="D59" i="13"/>
  <c r="B60" i="13"/>
  <c r="C60" i="13"/>
  <c r="F58" i="13"/>
  <c r="E58" i="13"/>
  <c r="L57" i="13"/>
  <c r="G57" i="13"/>
  <c r="AE75" i="6"/>
  <c r="AE77" i="6" s="1"/>
  <c r="K58" i="13"/>
  <c r="AD82" i="6"/>
  <c r="L58" i="13" l="1"/>
  <c r="G58" i="13"/>
  <c r="J59" i="13"/>
  <c r="AE78" i="6"/>
  <c r="AF75" i="6" s="1"/>
  <c r="AF77" i="6" s="1"/>
  <c r="D60" i="13"/>
  <c r="B61" i="13"/>
  <c r="C61" i="13"/>
  <c r="F59" i="13"/>
  <c r="E59" i="13"/>
  <c r="I59" i="13"/>
  <c r="AD80" i="6"/>
  <c r="D61" i="13" l="1"/>
  <c r="B62" i="13"/>
  <c r="C62" i="13"/>
  <c r="F60" i="13"/>
  <c r="E60" i="13"/>
  <c r="K59" i="13"/>
  <c r="AD81" i="6"/>
  <c r="AE72" i="6" s="1"/>
  <c r="AE73" i="6"/>
  <c r="AE79" i="6" s="1"/>
  <c r="D62" i="13" l="1"/>
  <c r="C63" i="13"/>
  <c r="B63" i="13"/>
  <c r="L59" i="13"/>
  <c r="G59" i="13"/>
  <c r="AE80" i="6"/>
  <c r="AE81" i="6" s="1"/>
  <c r="AF72" i="6" s="1"/>
  <c r="J60" i="13"/>
  <c r="F61" i="13"/>
  <c r="E61" i="13"/>
  <c r="AF74" i="6"/>
  <c r="AF73" i="6"/>
  <c r="AE82" i="6"/>
  <c r="I60" i="13"/>
  <c r="AF82" i="6" l="1"/>
  <c r="D63" i="13"/>
  <c r="C64" i="13"/>
  <c r="B64" i="13"/>
  <c r="K60" i="13"/>
  <c r="J61" i="13"/>
  <c r="I61" i="13"/>
  <c r="AF78" i="6"/>
  <c r="F62" i="13"/>
  <c r="E62" i="13"/>
  <c r="AF79" i="6" l="1"/>
  <c r="AG74" i="6" s="1"/>
  <c r="AG75" i="6"/>
  <c r="AG77" i="6" s="1"/>
  <c r="D64" i="13"/>
  <c r="B65" i="13"/>
  <c r="C65" i="13"/>
  <c r="F63" i="13"/>
  <c r="E63" i="13"/>
  <c r="L60" i="13"/>
  <c r="G60" i="13"/>
  <c r="K61" i="13"/>
  <c r="I62" i="13" s="1"/>
  <c r="AF80" i="6" l="1"/>
  <c r="AG73" i="6" s="1"/>
  <c r="L61" i="13"/>
  <c r="G61" i="13"/>
  <c r="D65" i="13"/>
  <c r="B66" i="13"/>
  <c r="C66" i="13"/>
  <c r="F64" i="13"/>
  <c r="E64" i="13"/>
  <c r="AG78" i="6"/>
  <c r="AG79" i="6" s="1"/>
  <c r="J62" i="13"/>
  <c r="K62" i="13" s="1"/>
  <c r="AF81" i="6" l="1"/>
  <c r="AG72" i="6" s="1"/>
  <c r="AH74" i="6"/>
  <c r="AG82" i="6"/>
  <c r="AG80" i="6"/>
  <c r="AH73" i="6" s="1"/>
  <c r="AH75" i="6"/>
  <c r="AH77" i="6" s="1"/>
  <c r="L62" i="13"/>
  <c r="G62" i="13"/>
  <c r="I63" i="13"/>
  <c r="J63" i="13"/>
  <c r="D66" i="13"/>
  <c r="C67" i="13" s="1"/>
  <c r="F65" i="13"/>
  <c r="E65" i="13"/>
  <c r="AH78" i="6"/>
  <c r="AI75" i="6" s="1"/>
  <c r="AI77" i="6" s="1"/>
  <c r="AG81" i="6" l="1"/>
  <c r="AH72" i="6" s="1"/>
  <c r="B67" i="13"/>
  <c r="D67" i="13" s="1"/>
  <c r="AH82" i="6"/>
  <c r="AH79" i="6"/>
  <c r="AI74" i="6" s="1"/>
  <c r="AI78" i="6" s="1"/>
  <c r="K63" i="13"/>
  <c r="J64" i="13"/>
  <c r="I64" i="13"/>
  <c r="F66" i="13"/>
  <c r="E66" i="13"/>
  <c r="C68" i="13" l="1"/>
  <c r="B68" i="13"/>
  <c r="D68" i="13" s="1"/>
  <c r="AH81" i="6"/>
  <c r="AI72" i="6" s="1"/>
  <c r="AI82" i="6" s="1"/>
  <c r="AH80" i="6"/>
  <c r="AI73" i="6" s="1"/>
  <c r="AI79" i="6" s="1"/>
  <c r="AJ74" i="6" s="1"/>
  <c r="K64" i="13"/>
  <c r="I65" i="13"/>
  <c r="J65" i="13"/>
  <c r="F67" i="13"/>
  <c r="E67" i="13"/>
  <c r="AJ75" i="6"/>
  <c r="AJ77" i="6" s="1"/>
  <c r="L63" i="13"/>
  <c r="G63" i="13"/>
  <c r="B69" i="13" l="1"/>
  <c r="D69" i="13" s="1"/>
  <c r="C69" i="13"/>
  <c r="AI81" i="6"/>
  <c r="AJ72" i="6" s="1"/>
  <c r="AI80" i="6"/>
  <c r="AJ73" i="6" s="1"/>
  <c r="F68" i="13"/>
  <c r="E68" i="13"/>
  <c r="AJ82" i="6"/>
  <c r="K65" i="13"/>
  <c r="J66" i="13"/>
  <c r="I66" i="13"/>
  <c r="L64" i="13"/>
  <c r="G64" i="13"/>
  <c r="AJ78" i="6"/>
  <c r="AK75" i="6" s="1"/>
  <c r="AK77" i="6" s="1"/>
  <c r="AJ79" i="6"/>
  <c r="AK74" i="6" s="1"/>
  <c r="B70" i="13" l="1"/>
  <c r="D70" i="13" s="1"/>
  <c r="C70" i="13"/>
  <c r="AJ80" i="6"/>
  <c r="AK73" i="6" s="1"/>
  <c r="AK78" i="6"/>
  <c r="AL75" i="6" s="1"/>
  <c r="AL77" i="6" s="1"/>
  <c r="L65" i="13"/>
  <c r="G65" i="13"/>
  <c r="K66" i="13"/>
  <c r="F69" i="13"/>
  <c r="E69" i="13"/>
  <c r="AJ81" i="6"/>
  <c r="AK72" i="6" s="1"/>
  <c r="C71" i="13" l="1"/>
  <c r="B71" i="13"/>
  <c r="L66" i="13"/>
  <c r="G66" i="13"/>
  <c r="F70" i="13"/>
  <c r="E70" i="13"/>
  <c r="AK82" i="6"/>
  <c r="AK79" i="6"/>
  <c r="AL74" i="6" s="1"/>
  <c r="AL78" i="6" s="1"/>
  <c r="J67" i="13"/>
  <c r="I67" i="13"/>
  <c r="D71" i="13" l="1"/>
  <c r="B72" i="13" s="1"/>
  <c r="F71" i="13"/>
  <c r="E71" i="13"/>
  <c r="K67" i="13"/>
  <c r="I68" i="13"/>
  <c r="J68" i="13"/>
  <c r="AM75" i="6"/>
  <c r="AM77" i="6" s="1"/>
  <c r="AK80" i="6"/>
  <c r="C72" i="13" l="1"/>
  <c r="D72" i="13" s="1"/>
  <c r="K68" i="13"/>
  <c r="J69" i="13"/>
  <c r="I69" i="13"/>
  <c r="L67" i="13"/>
  <c r="G67" i="13"/>
  <c r="AL73" i="6"/>
  <c r="AK81" i="6"/>
  <c r="AL72" i="6" s="1"/>
  <c r="C73" i="13" l="1"/>
  <c r="B73" i="13"/>
  <c r="F72" i="13"/>
  <c r="E72" i="13"/>
  <c r="L68" i="13"/>
  <c r="G68" i="13"/>
  <c r="K69" i="13"/>
  <c r="I70" i="13"/>
  <c r="J70" i="13"/>
  <c r="AL82" i="6"/>
  <c r="AL79" i="6"/>
  <c r="D73" i="13" l="1"/>
  <c r="C74" i="13"/>
  <c r="K70" i="13"/>
  <c r="J71" i="13"/>
  <c r="I71" i="13"/>
  <c r="L69" i="13"/>
  <c r="G69" i="13"/>
  <c r="AL80" i="6"/>
  <c r="AM73" i="6" s="1"/>
  <c r="AL81" i="6"/>
  <c r="AM72" i="6" s="1"/>
  <c r="AM74" i="6"/>
  <c r="F73" i="13" l="1"/>
  <c r="E73" i="13"/>
  <c r="B74" i="13"/>
  <c r="K71" i="13"/>
  <c r="J72" i="13"/>
  <c r="I72" i="13"/>
  <c r="L70" i="13"/>
  <c r="G70" i="13"/>
  <c r="AM82" i="6"/>
  <c r="AM78" i="6"/>
  <c r="D74" i="13" l="1"/>
  <c r="C75" i="13"/>
  <c r="B75" i="13"/>
  <c r="K72" i="13"/>
  <c r="I73" i="13"/>
  <c r="J73" i="13"/>
  <c r="AM79" i="6"/>
  <c r="AN74" i="6" s="1"/>
  <c r="AN75" i="6"/>
  <c r="AN77" i="6" s="1"/>
  <c r="L71" i="13"/>
  <c r="G71" i="13"/>
  <c r="D75" i="13" l="1"/>
  <c r="B76" i="13"/>
  <c r="AM81" i="6"/>
  <c r="AN72" i="6" s="1"/>
  <c r="AM80" i="6"/>
  <c r="AN73" i="6" s="1"/>
  <c r="F74" i="13"/>
  <c r="E74" i="13"/>
  <c r="AN78" i="6"/>
  <c r="AN82" i="6"/>
  <c r="K73" i="13"/>
  <c r="J74" i="13"/>
  <c r="I74" i="13"/>
  <c r="L72" i="13"/>
  <c r="G72" i="13"/>
  <c r="E75" i="13" l="1"/>
  <c r="F75" i="13"/>
  <c r="C76" i="13"/>
  <c r="D76" i="13" s="1"/>
  <c r="L73" i="13"/>
  <c r="G73" i="13"/>
  <c r="AO75" i="6"/>
  <c r="AO77" i="6" s="1"/>
  <c r="K74" i="13"/>
  <c r="J75" i="13"/>
  <c r="I75" i="13"/>
  <c r="AN79" i="6"/>
  <c r="AO74" i="6" s="1"/>
  <c r="F76" i="13" l="1"/>
  <c r="E76" i="13"/>
  <c r="B77" i="13"/>
  <c r="C77" i="13"/>
  <c r="AN80" i="6"/>
  <c r="AO73" i="6" s="1"/>
  <c r="AP74" i="6" s="1"/>
  <c r="L74" i="13"/>
  <c r="G74" i="13"/>
  <c r="AO78" i="6"/>
  <c r="AP75" i="6" s="1"/>
  <c r="AP77" i="6" s="1"/>
  <c r="AO79" i="6"/>
  <c r="K75" i="13"/>
  <c r="D77" i="13" l="1"/>
  <c r="B78" i="13"/>
  <c r="C78" i="13"/>
  <c r="AN81" i="6"/>
  <c r="AO72" i="6" s="1"/>
  <c r="AO80" i="6" s="1"/>
  <c r="AO81" i="6" s="1"/>
  <c r="AP72" i="6" s="1"/>
  <c r="AP78" i="6"/>
  <c r="AQ75" i="6"/>
  <c r="AQ77" i="6" s="1"/>
  <c r="L75" i="13"/>
  <c r="G75" i="13"/>
  <c r="AP73" i="6"/>
  <c r="AP82" i="6" s="1"/>
  <c r="J76" i="13"/>
  <c r="I76" i="13"/>
  <c r="D78" i="13" l="1"/>
  <c r="B79" i="13"/>
  <c r="AO82" i="6"/>
  <c r="F77" i="13"/>
  <c r="E77" i="13"/>
  <c r="AP79" i="6"/>
  <c r="K76" i="13"/>
  <c r="J77" i="13" s="1"/>
  <c r="I77" i="13" l="1"/>
  <c r="K77" i="13" s="1"/>
  <c r="C79" i="13"/>
  <c r="D79" i="13" s="1"/>
  <c r="F78" i="13"/>
  <c r="E78" i="13"/>
  <c r="AQ74" i="6"/>
  <c r="AP80" i="6"/>
  <c r="AQ73" i="6" s="1"/>
  <c r="L76" i="13"/>
  <c r="G76" i="13"/>
  <c r="F79" i="13" l="1"/>
  <c r="E79" i="13"/>
  <c r="C80" i="13"/>
  <c r="B80" i="13"/>
  <c r="J78" i="13"/>
  <c r="I78" i="13"/>
  <c r="K78" i="13" s="1"/>
  <c r="L77" i="13"/>
  <c r="G77" i="13"/>
  <c r="AQ78" i="6"/>
  <c r="AR75" i="6" s="1"/>
  <c r="AR77" i="6" s="1"/>
  <c r="AP81" i="6"/>
  <c r="AQ72" i="6" s="1"/>
  <c r="D80" i="13" l="1"/>
  <c r="B81" i="13"/>
  <c r="C81" i="13"/>
  <c r="J79" i="13"/>
  <c r="I79" i="13"/>
  <c r="K79" i="13" s="1"/>
  <c r="AQ82" i="6"/>
  <c r="AQ79" i="6"/>
  <c r="AR74" i="6" s="1"/>
  <c r="AR78" i="6" s="1"/>
  <c r="AQ80" i="6"/>
  <c r="AQ81" i="6" s="1"/>
  <c r="AR72" i="6" s="1"/>
  <c r="L78" i="13"/>
  <c r="G78" i="13"/>
  <c r="I80" i="13" l="1"/>
  <c r="K80" i="13" s="1"/>
  <c r="J80" i="13"/>
  <c r="B82" i="13"/>
  <c r="C82" i="13"/>
  <c r="D81" i="13"/>
  <c r="F80" i="13"/>
  <c r="E80" i="13"/>
  <c r="L79" i="13"/>
  <c r="G79" i="13"/>
  <c r="AR73" i="6"/>
  <c r="AR82" i="6" s="1"/>
  <c r="AS75" i="6"/>
  <c r="AS77" i="6" s="1"/>
  <c r="J81" i="13" l="1"/>
  <c r="I81" i="13"/>
  <c r="K81" i="13" s="1"/>
  <c r="F81" i="13"/>
  <c r="E81" i="13"/>
  <c r="D82" i="13"/>
  <c r="B83" i="13"/>
  <c r="C83" i="13"/>
  <c r="AR79" i="6"/>
  <c r="AS74" i="6" s="1"/>
  <c r="L80" i="13"/>
  <c r="G80" i="13"/>
  <c r="J82" i="13" l="1"/>
  <c r="I82" i="13"/>
  <c r="K82" i="13" s="1"/>
  <c r="F82" i="13"/>
  <c r="E82" i="13"/>
  <c r="B84" i="13"/>
  <c r="D83" i="13"/>
  <c r="AS78" i="6"/>
  <c r="AR80" i="6"/>
  <c r="AS73" i="6" s="1"/>
  <c r="L81" i="13"/>
  <c r="G81" i="13"/>
  <c r="J83" i="13" l="1"/>
  <c r="I83" i="13"/>
  <c r="K83" i="13" s="1"/>
  <c r="F83" i="13"/>
  <c r="E83" i="13"/>
  <c r="C84" i="13"/>
  <c r="D84" i="13" s="1"/>
  <c r="L82" i="13"/>
  <c r="G82" i="13"/>
  <c r="AR81" i="6"/>
  <c r="AS72" i="6" s="1"/>
  <c r="AS79" i="6"/>
  <c r="AT74" i="6" s="1"/>
  <c r="AT75" i="6"/>
  <c r="AT77" i="6" s="1"/>
  <c r="F84" i="13" l="1"/>
  <c r="E84" i="13"/>
  <c r="J84" i="13"/>
  <c r="I84" i="13"/>
  <c r="K84" i="13" s="1"/>
  <c r="AT78" i="6"/>
  <c r="AU75" i="6" s="1"/>
  <c r="AU77" i="6" s="1"/>
  <c r="AS80" i="6"/>
  <c r="AT73" i="6" s="1"/>
  <c r="AS81" i="6"/>
  <c r="AT72" i="6" s="1"/>
  <c r="AS82" i="6"/>
  <c r="L83" i="13"/>
  <c r="G83" i="13"/>
  <c r="L84" i="13" l="1"/>
  <c r="G84" i="13"/>
  <c r="AT82" i="6"/>
  <c r="AT79" i="6"/>
  <c r="AT80" i="6" l="1"/>
  <c r="AU73" i="6" s="1"/>
  <c r="AU74" i="6"/>
  <c r="AU78" i="6" l="1"/>
  <c r="AT81" i="6"/>
  <c r="AU72" i="6" s="1"/>
  <c r="AU82" i="6" l="1"/>
  <c r="AU79" i="6"/>
  <c r="AV74" i="6" s="1"/>
  <c r="AV75" i="6"/>
  <c r="AV77" i="6" s="1"/>
  <c r="AV78" i="6" l="1"/>
  <c r="AW75" i="6" s="1"/>
  <c r="AW77" i="6" s="1"/>
  <c r="AU80" i="6"/>
  <c r="AV73" i="6" l="1"/>
  <c r="AU81" i="6"/>
  <c r="AV72" i="6" s="1"/>
  <c r="AV82" i="6" l="1"/>
  <c r="AV79" i="6"/>
  <c r="AV80" i="6" l="1"/>
  <c r="AW73" i="6" s="1"/>
  <c r="AW74" i="6"/>
  <c r="AW78" i="6" l="1"/>
  <c r="AV81" i="6"/>
  <c r="AW72" i="6" s="1"/>
  <c r="AW82" i="6" l="1"/>
  <c r="AW79" i="6"/>
  <c r="AX74" i="6" s="1"/>
  <c r="AW80" i="6"/>
  <c r="AX73" i="6" s="1"/>
  <c r="AX75" i="6"/>
  <c r="AX77" i="6" s="1"/>
  <c r="AX78" i="6" l="1"/>
  <c r="AX79" i="6" s="1"/>
  <c r="AW81" i="6"/>
  <c r="AX72" i="6" s="1"/>
  <c r="AY75" i="6" l="1"/>
  <c r="AY77" i="6" s="1"/>
  <c r="AY74" i="6"/>
  <c r="AX80" i="6"/>
  <c r="AX81" i="6" s="1"/>
  <c r="AY72" i="6" s="1"/>
  <c r="AY73" i="6"/>
  <c r="AX82" i="6"/>
  <c r="AY78" i="6"/>
  <c r="AY82" i="6" l="1"/>
  <c r="AY79" i="6"/>
  <c r="AY80" i="6" s="1"/>
  <c r="AZ73" i="6" s="1"/>
  <c r="AZ75" i="6"/>
  <c r="AZ77" i="6" s="1"/>
  <c r="AZ74" i="6" l="1"/>
  <c r="AY81" i="6"/>
  <c r="AZ72" i="6" s="1"/>
  <c r="AZ82" i="6" s="1"/>
  <c r="AZ78" i="6"/>
  <c r="BA75" i="6" s="1"/>
  <c r="BA77" i="6" s="1"/>
  <c r="AZ79" i="6" l="1"/>
  <c r="BA74" i="6" s="1"/>
  <c r="AZ80" i="6" l="1"/>
  <c r="BA73" i="6" s="1"/>
  <c r="BA78" i="6"/>
  <c r="AZ81" i="6"/>
  <c r="BA72" i="6" s="1"/>
  <c r="BA82" i="6" l="1"/>
  <c r="BA79" i="6"/>
  <c r="BA80" i="6"/>
  <c r="BB73" i="6" s="1"/>
  <c r="BB74" i="6"/>
  <c r="BB75" i="6"/>
  <c r="BB77" i="6" s="1"/>
  <c r="BB78" i="6" l="1"/>
  <c r="BC75" i="6" s="1"/>
  <c r="BC77" i="6" s="1"/>
  <c r="BA81" i="6"/>
  <c r="BB72" i="6" s="1"/>
  <c r="BB82" i="6" l="1"/>
  <c r="BB79" i="6"/>
  <c r="BC74" i="6" s="1"/>
  <c r="BB80" i="6"/>
  <c r="BC73" i="6" s="1"/>
  <c r="BC78" i="6" l="1"/>
  <c r="BB81" i="6"/>
  <c r="BC72" i="6" s="1"/>
  <c r="BC82" i="6" l="1"/>
  <c r="BC79" i="6"/>
  <c r="BD74" i="6" s="1"/>
  <c r="BC80" i="6"/>
  <c r="BD73" i="6" s="1"/>
  <c r="BD75" i="6"/>
  <c r="BD77" i="6" s="1"/>
  <c r="BD78" i="6" l="1"/>
  <c r="BC81" i="6"/>
  <c r="BD72" i="6" s="1"/>
  <c r="BD82" i="6" l="1"/>
  <c r="BE75" i="6"/>
  <c r="BE77" i="6" s="1"/>
  <c r="BD79" i="6"/>
  <c r="BE74" i="6" s="1"/>
  <c r="BE78" i="6" l="1"/>
  <c r="BF75" i="6" s="1"/>
  <c r="BF77" i="6" s="1"/>
  <c r="BD80" i="6"/>
  <c r="BE73" i="6" s="1"/>
  <c r="BD81" i="6"/>
  <c r="BE72" i="6" s="1"/>
  <c r="BE82" i="6" l="1"/>
  <c r="BE79" i="6"/>
  <c r="BF74" i="6" s="1"/>
  <c r="BF78" i="6" l="1"/>
  <c r="BE80" i="6"/>
  <c r="BF73" i="6" s="1"/>
  <c r="BE81" i="6" l="1"/>
  <c r="BF72" i="6" s="1"/>
  <c r="BF79" i="6"/>
  <c r="BG74" i="6" s="1"/>
  <c r="BG75" i="6"/>
  <c r="BG77" i="6" s="1"/>
  <c r="BF80" i="6" l="1"/>
  <c r="BF81" i="6" s="1"/>
  <c r="BG72" i="6" s="1"/>
  <c r="BF82" i="6"/>
  <c r="BG78" i="6"/>
  <c r="BH75" i="6" s="1"/>
  <c r="BH77" i="6" s="1"/>
  <c r="BG73" i="6" l="1"/>
  <c r="BG82" i="6" s="1"/>
  <c r="BG79" i="6" l="1"/>
  <c r="BG80" i="6" l="1"/>
  <c r="BH73" i="6" s="1"/>
  <c r="BH74" i="6"/>
  <c r="BG81" i="6" l="1"/>
  <c r="BH72" i="6" s="1"/>
  <c r="BH78" i="6"/>
  <c r="BH82" i="6"/>
  <c r="BH79" i="6" l="1"/>
  <c r="BI74" i="6" s="1"/>
  <c r="BI75" i="6"/>
  <c r="BI77" i="6" s="1"/>
  <c r="BI78" i="6" l="1"/>
  <c r="BH80" i="6"/>
  <c r="BI73" i="6" s="1"/>
  <c r="BI79" i="6" l="1"/>
  <c r="BJ74" i="6"/>
  <c r="BJ75" i="6"/>
  <c r="BJ77" i="6" s="1"/>
  <c r="BH81" i="6"/>
  <c r="BI72" i="6" s="1"/>
  <c r="BI80" i="6" s="1"/>
  <c r="BI81" i="6" s="1"/>
  <c r="BJ72" i="6" s="1"/>
  <c r="BJ78" i="6" l="1"/>
  <c r="BJ73" i="6"/>
  <c r="BI82" i="6"/>
  <c r="BK75" i="6" l="1"/>
  <c r="BK77" i="6" s="1"/>
  <c r="BJ82" i="6"/>
  <c r="BJ79" i="6"/>
  <c r="BJ80" i="6" l="1"/>
  <c r="BK73" i="6" s="1"/>
  <c r="BK74" i="6"/>
  <c r="BK78" i="6"/>
  <c r="BK79" i="6" l="1"/>
  <c r="BJ81" i="6"/>
  <c r="BK72" i="6" s="1"/>
  <c r="BK82" i="6" s="1"/>
  <c r="BK80" i="6" l="1"/>
  <c r="BK81" i="6" s="1"/>
</calcChain>
</file>

<file path=xl/sharedStrings.xml><?xml version="1.0" encoding="utf-8"?>
<sst xmlns="http://schemas.openxmlformats.org/spreadsheetml/2006/main" count="1312" uniqueCount="565">
  <si>
    <t>LH REAL ESTATE ADVISORY  ·  INVESTMENT  ·  RESEARCH</t>
  </si>
  <si>
    <t/>
  </si>
  <si>
    <t>KHU PHỨC HỢP CĂN HỘ CAO TẦNG</t>
  </si>
  <si>
    <t>BÁO CÁO NGHIÊN CỨU KHẢ THI  ·  FEASIBILITY STUDY</t>
  </si>
  <si>
    <t>Phạm Văn Đồng</t>
  </si>
  <si>
    <t>Prepared for</t>
  </si>
  <si>
    <t>Chủ đầu tư</t>
  </si>
  <si>
    <t>Prepared by</t>
  </si>
  <si>
    <t>LH Real Estate Advisory</t>
  </si>
  <si>
    <t>Ngày phát hành</t>
  </si>
  <si>
    <t>23/7/2026</t>
  </si>
  <si>
    <t>STRICTLY PRIVATE &amp; CONFIDENTIAL</t>
  </si>
  <si>
    <t>TÓM TẮT HIỆU QUẢ ĐẦU TƯ</t>
  </si>
  <si>
    <t>Kết luận đầu tư</t>
  </si>
  <si>
    <t>CHƯA ĐẠT NGƯỠNG</t>
  </si>
  <si>
    <t>NPV chủ đầu tư @12%/năm</t>
  </si>
  <si>
    <t>tr.đ</t>
  </si>
  <si>
    <t>IRR chủ đầu tư (levered)</t>
  </si>
  <si>
    <t>IRR dự án — TMĐT (unlevered)</t>
  </si>
  <si>
    <t>Thời gian hoàn vốn</t>
  </si>
  <si>
    <t>4 năm</t>
  </si>
  <si>
    <t>Lợi nhuận sau thuế hợp nhất</t>
  </si>
  <si>
    <t>Tổng mức đầu tư (gồm lãi vay)</t>
  </si>
  <si>
    <t>NỘI DUNG WORKBOOK</t>
  </si>
  <si>
    <t>DASHBOARD</t>
  </si>
  <si>
    <t>Bảng điều khiển: hiệu quả, cơ cấu vốn, dòng tiền, kiểm tra toàn vẹn</t>
  </si>
  <si>
    <t>INPUT</t>
  </si>
  <si>
    <t>Thông số đầu vào — sửa trực tiếp (web đọc theo địa chỉ ô)</t>
  </si>
  <si>
    <t>TIENDO</t>
  </si>
  <si>
    <t>Tiến độ giải ngân chi phí theo năm</t>
  </si>
  <si>
    <t>QD425</t>
  </si>
  <si>
    <t>Khái toán suất vốn đầu tư — QĐ 425/QĐ-BXD</t>
  </si>
  <si>
    <t>FS</t>
  </si>
  <si>
    <t>Dòng tiền hợp nhất &amp; hiệu quả (giá trị, không vòng lặp)</t>
  </si>
  <si>
    <t>CAUTRUCVON</t>
  </si>
  <si>
    <t>Cơ cấu vốn &amp; nguồn tiền tài trợ theo năm (liên kết FS)</t>
  </si>
  <si>
    <t>PHANBOCP</t>
  </si>
  <si>
    <t>Cơ cấu phân bổ chi phí Bán hàng / Cho thuê (theo cơ sở phân bổ)</t>
  </si>
  <si>
    <t>KHAITOAN</t>
  </si>
  <si>
    <t>Đối chiếu khái toán &amp; hạ tầng kỹ thuật</t>
  </si>
  <si>
    <t>HDSD</t>
  </si>
  <si>
    <t>Hướng dẫn sử dụng workbook</t>
  </si>
  <si>
    <t>Tài liệu do LH Real Estate Advisory lập trên cơ sở giả định của chủ đầu tư; phục vụ phân tích nội bộ, không phải khuyến nghị đầu tư. Số liệu lấy trực tiếp từ engine định lượng — DASHBOARD &amp; FS luôn khớp web.</t>
  </si>
  <si>
    <t>DASHBOARD HIỆU QUẢ DỰ ÁN — Khu phức hợp căn hộ cao tầng</t>
  </si>
  <si>
    <t>KẾT LUẬN</t>
  </si>
  <si>
    <t>CHỈ TIÊU HIỆU QUẢ (hợp nhất bán + cho thuê)</t>
  </si>
  <si>
    <t>IRR chủ đầu tư</t>
  </si>
  <si>
    <t>IRR dự án (TMĐT)</t>
  </si>
  <si>
    <t>Thuế TNDN hợp nhất (bù lỗ 5 năm)</t>
  </si>
  <si>
    <t>CƠ CẤU TỔNG MỨC ĐẦU TƯ</t>
  </si>
  <si>
    <t>Đất &amp; pháp lý</t>
  </si>
  <si>
    <t>██████████████████████████████</t>
  </si>
  <si>
    <t>Xây dựng (gồm VAT)</t>
  </si>
  <si>
    <t>██████████████████</t>
  </si>
  <si>
    <t>Lãi vay vốn hoá</t>
  </si>
  <si>
    <t>██</t>
  </si>
  <si>
    <t>TỔNG MỨC ĐẦU TƯ (gồm lãi vay)</t>
  </si>
  <si>
    <t>CƠ CẤU NGUỒN VỐN</t>
  </si>
  <si>
    <t>Vốn vay ngân hàng</t>
  </si>
  <si>
    <t>██████████████████████████</t>
  </si>
  <si>
    <t>Vốn chủ sở hữu</t>
  </si>
  <si>
    <t>Vốn huy động khách hàng</t>
  </si>
  <si>
    <t>████</t>
  </si>
  <si>
    <t>CƠ CẤU NGUỒN VỐN THEO RỔ CHI PHÍ</t>
  </si>
  <si>
    <t>Rổ chi phí</t>
  </si>
  <si>
    <t>Tổng (triệu)</t>
  </si>
  <si>
    <t>Vốn chủ</t>
  </si>
  <si>
    <t>Vay NH / Huy động KH</t>
  </si>
  <si>
    <t>Chi phí đầu tư — TMĐT (chưa lãi vay)</t>
  </si>
  <si>
    <t>Vay 513 · KH 370</t>
  </si>
  <si>
    <t>Lãi vay vốn hoá (vốn chủ tài trợ)</t>
  </si>
  <si>
    <t>Vay 0 · KH 0</t>
  </si>
  <si>
    <t>Chi phí hoạt động + VAT</t>
  </si>
  <si>
    <t>Vay 0 · KH 319</t>
  </si>
  <si>
    <t>Thuế TNDN</t>
  </si>
  <si>
    <t>Vay 0 · KH 17</t>
  </si>
  <si>
    <t>TỔNG NGUỒN</t>
  </si>
  <si>
    <t>Vay 513 · KH 706</t>
  </si>
  <si>
    <t>Tỷ trọng (VC / Vay / KH)</t>
  </si>
  <si>
    <t>45.0% · WACC 12.0% (vốn có CP)</t>
  </si>
  <si>
    <t>Lãi vay vốn hoá (đã gồm trong rổ đầu tư)</t>
  </si>
  <si>
    <t>DÒNG TIỀN CHỦ ĐẦU TƯ THEO NĂM</t>
  </si>
  <si>
    <t>Năm</t>
  </si>
  <si>
    <t>Ngân lưu CĐT (triệu)</t>
  </si>
  <si>
    <t>Biểu đồ (|giá trị|)</t>
  </si>
  <si>
    <t>2026</t>
  </si>
  <si>
    <t>(−) █████████████████████</t>
  </si>
  <si>
    <t>2027</t>
  </si>
  <si>
    <t>(−) ██████████████████████</t>
  </si>
  <si>
    <t>2028</t>
  </si>
  <si>
    <t>(−) ████████</t>
  </si>
  <si>
    <t>2029</t>
  </si>
  <si>
    <t>█████████████████████████</t>
  </si>
  <si>
    <t>2030</t>
  </si>
  <si>
    <t>2031</t>
  </si>
  <si>
    <t>2032</t>
  </si>
  <si>
    <t>2033</t>
  </si>
  <si>
    <t>2034</t>
  </si>
  <si>
    <t>2035</t>
  </si>
  <si>
    <t>2036</t>
  </si>
  <si>
    <t>2037</t>
  </si>
  <si>
    <t>KIỂM TRA TOÀN VẸN DỮ LIỆU</t>
  </si>
  <si>
    <t>Hạng mục kiểm tra</t>
  </si>
  <si>
    <t>Trạng thái</t>
  </si>
  <si>
    <t>Chi tiết</t>
  </si>
  <si>
    <t>Tiến độ bán Căn hộ — Σ=100%</t>
  </si>
  <si>
    <t>ĐẠT</t>
  </si>
  <si>
    <t>100%</t>
  </si>
  <si>
    <t>Tiến độ bán Shop — Σ=100%</t>
  </si>
  <si>
    <t>Lịch giải ngân chi phí — Σ=100%/hạng mục</t>
  </si>
  <si>
    <t>9/9 hạng mục đạt</t>
  </si>
  <si>
    <t>Năm bán có ma trận thu tiền</t>
  </si>
  <si>
    <t>đủ 3 năm bán</t>
  </si>
  <si>
    <t>Ma trận thu tiền mỗi vintage — Σ=100%</t>
  </si>
  <si>
    <t>vintage đang dùng đạt 100%</t>
  </si>
  <si>
    <t>Đối soát thực thu / doanh thu</t>
  </si>
  <si>
    <t>100.0%</t>
  </si>
  <si>
    <t>✅ Tất cả 6 kiểm tra ĐẠT — dữ liệu nhất quán</t>
  </si>
  <si>
    <t>Số liệu lấy trực tiếp từ engine web: hợp nhất Bán + Cho thuê, TNDN bù lỗ 5 năm, chiết khấu đủ vòng đời. Sheet FS là chi tiết phát triển 13 năm (giá trị có thể khác do Dashboard đã hợp nhất + mở rộng).</t>
  </si>
  <si>
    <t>FS INPUT — CHỈ SỬA GIÁ TRỊ CỘT C..F, KHÔNG CHÈN/XÓA HÀNG (web đọc theo địa chỉ ô)</t>
  </si>
  <si>
    <t>THAM SỐ CHUNG</t>
  </si>
  <si>
    <t>Tỷ suất chiết khấu CĐT (r)</t>
  </si>
  <si>
    <t>%/năm</t>
  </si>
  <si>
    <t>Lãi suất vay ngân hàng</t>
  </si>
  <si>
    <t>Thuế VAT</t>
  </si>
  <si>
    <t>%</t>
  </si>
  <si>
    <t>Thuế TNDN tạm nộp/dòng thu</t>
  </si>
  <si>
    <t>Tốc độ tăng giá bán</t>
  </si>
  <si>
    <t>Tổng diện tích đất dự án</t>
  </si>
  <si>
    <t>m2</t>
  </si>
  <si>
    <t>Diện tích đất xây dựng</t>
  </si>
  <si>
    <t>Chi phí chuyển nhượng (mua đất)</t>
  </si>
  <si>
    <t>tỷ đồng</t>
  </si>
  <si>
    <t>Chi phí đền bù GPMB</t>
  </si>
  <si>
    <t>Tiền sử dụng đất</t>
  </si>
  <si>
    <t>Quỹ nhà ở xã hội</t>
  </si>
  <si>
    <t>Chi phí pháp lý / CPXD (fallback nếu nhập cứng =0)</t>
  </si>
  <si>
    <t>Đơn giá hạ tầng (chưa VAT)</t>
  </si>
  <si>
    <t>tr.đ/m2</t>
  </si>
  <si>
    <t>Hệ số điều chỉnh suất XD</t>
  </si>
  <si>
    <t>Tư vấn, QLDA, khác / CPXD chính</t>
  </si>
  <si>
    <t>Dự phòng / (CPXD+tư vấn)</t>
  </si>
  <si>
    <t>Chi phí QLDN / doanh thu</t>
  </si>
  <si>
    <t>Chi phí bán hàng / doanh thu</t>
  </si>
  <si>
    <t>Giá bán căn hộ (gồm VAT)</t>
  </si>
  <si>
    <t>Giá shop = % giá căn hộ</t>
  </si>
  <si>
    <t>Vốn chủ sở hữu góp</t>
  </si>
  <si>
    <t>Tỷ trọng móng–ngầm / CPXD chính</t>
  </si>
  <si>
    <t>Tỷ trọng kết cấu</t>
  </si>
  <si>
    <t>Tỷ trọng hoàn thiện</t>
  </si>
  <si>
    <t>Tỷ trọng M&amp;E</t>
  </si>
  <si>
    <t>Diện tích TB / căn hộ</t>
  </si>
  <si>
    <t>Chỉ tiêu sàn / người</t>
  </si>
  <si>
    <t>m2/người</t>
  </si>
  <si>
    <t>Số khối tháp (1–4)</t>
  </si>
  <si>
    <t>tháp</t>
  </si>
  <si>
    <t>Trần % tiền KH dùng cho ĐẦU TƯ</t>
  </si>
  <si>
    <t>Chi phí vốn huy động KH</t>
  </si>
  <si>
    <t>THÔNG SỐ TỪNG THÁP</t>
  </si>
  <si>
    <t>Tên tháp</t>
  </si>
  <si>
    <t>Tháp 1</t>
  </si>
  <si>
    <t>Số tầng nổi</t>
  </si>
  <si>
    <t>tầng</t>
  </si>
  <si>
    <t>Số tầng hầm</t>
  </si>
  <si>
    <t>GFA nổi</t>
  </si>
  <si>
    <t>GFA hầm</t>
  </si>
  <si>
    <t>Sàn khối đế (shop)</t>
  </si>
  <si>
    <t>Tỷ lệ thương phẩm căn hộ</t>
  </si>
  <si>
    <t>NSA shop (thương phẩm)</t>
  </si>
  <si>
    <t>Suất XD áp dụng (gồm VAT)</t>
  </si>
  <si>
    <t>Bảng QĐ425 (1=chung cư, 2=đa năng)</t>
  </si>
  <si>
    <t>Mục đích (1=bán, 2=cho thuê)</t>
  </si>
  <si>
    <t>THAM SỐ MỞ RỘNG V3</t>
  </si>
  <si>
    <t>Chiều cao trung bình 1 tầng</t>
  </si>
  <si>
    <t>m</t>
  </si>
  <si>
    <t>Phương pháp vay: 1=giải ngân thực tế, 2=hạn mức cơ cấu vay</t>
  </si>
  <si>
    <t>Hệ số vùng Kkv (QĐ 409/QĐ-BXD)</t>
  </si>
  <si>
    <t>lần</t>
  </si>
  <si>
    <t>Hệ số thời điểm Ktg</t>
  </si>
  <si>
    <t>THÔNG TIN DỰ ÁN</t>
  </si>
  <si>
    <t>Tên dự án</t>
  </si>
  <si>
    <t>Khu phức hợp căn hộ cao tầng</t>
  </si>
  <si>
    <t>Vị trí</t>
  </si>
  <si>
    <t>Đơn vị lập báo cáo</t>
  </si>
  <si>
    <t>Loại hình dự án</t>
  </si>
  <si>
    <t>Chung cư nhà ở thương mại</t>
  </si>
  <si>
    <t>Ghi chú pháp lý</t>
  </si>
  <si>
    <t>Vốn chủ: 1=tự động theo waterfall, 2=cố định theo ô C25</t>
  </si>
  <si>
    <t>Tỷ lệ vay tiền sử dụng đất</t>
  </si>
  <si>
    <t>Tỷ lệ vay hạ tầng</t>
  </si>
  <si>
    <t>Tỷ lệ vay CPXD chính</t>
  </si>
  <si>
    <t>Tỷ lệ vay tư vấn/QLDA/khác</t>
  </si>
  <si>
    <t>Tỷ lệ vay dự phòng</t>
  </si>
  <si>
    <t>Loại sản phẩm BÁN (tên báo cáo)</t>
  </si>
  <si>
    <t>Bán hàng</t>
  </si>
  <si>
    <t>Loại sản phẩm CHO THUÊ / khai thác</t>
  </si>
  <si>
    <t>Cho thuê</t>
  </si>
  <si>
    <t>THÔNG SỐ CHO THUÊ / KHAI THÁC — giá thuê NET (chưa VAT)</t>
  </si>
  <si>
    <t>Bật mảng cho thuê (1=có · 0=không)</t>
  </si>
  <si>
    <t>Năm bắt đầu vận hành</t>
  </si>
  <si>
    <t>năm</t>
  </si>
  <si>
    <t>Số năm khai thác</t>
  </si>
  <si>
    <t>Suất chiết khấu cho thuê</t>
  </si>
  <si>
    <t>Thuế TNDN cho thuê</t>
  </si>
  <si>
    <t>Trượt giá thuê mỗi chu kỳ</t>
  </si>
  <si>
    <t>Chu kỳ điều chỉnh giá thuê</t>
  </si>
  <si>
    <t>Diện tích cho thuê (NSA)</t>
  </si>
  <si>
    <t>m²</t>
  </si>
  <si>
    <t>Giá thuê NSA (NET — chưa VAT)</t>
  </si>
  <si>
    <t>ngàn/m²/tháng</t>
  </si>
  <si>
    <t>Số căn cho thuê</t>
  </si>
  <si>
    <t>căn</t>
  </si>
  <si>
    <t>Giá thuê mỗi căn (NET — chưa VAT)</t>
  </si>
  <si>
    <t>tr.đ/căn/tháng</t>
  </si>
  <si>
    <t>Số phòng khách sạn</t>
  </si>
  <si>
    <t>phòng</t>
  </si>
  <si>
    <t>Giá phòng ADR (NET — chưa VAT)</t>
  </si>
  <si>
    <t>tr.đ/đêm</t>
  </si>
  <si>
    <t>Tỷ lệ opex / doanh thu thuê</t>
  </si>
  <si>
    <t>Tỷ lệ opex khách sạn / DT</t>
  </si>
  <si>
    <t>Trích lập FF&amp;E / doanh thu</t>
  </si>
  <si>
    <t>Bảo hiểm / nguyên giá tài sản</t>
  </si>
  <si>
    <t>Số năm khấu hao tài sản</t>
  </si>
  <si>
    <t>Thoái vốn cuối kỳ (1=có · 0=giữ)</t>
  </si>
  <si>
    <t>Tuổi đời kinh tế tài sản</t>
  </si>
  <si>
    <t>Cap rate thoái vốn</t>
  </si>
  <si>
    <t>Chi phí giao dịch thoái vốn</t>
  </si>
  <si>
    <t>Cơ sở phân bổ chung (1=CPXD · 2=GFA · 3=tay)</t>
  </si>
  <si>
    <t>Tỷ trọng nhập tay (khi chọn 3)</t>
  </si>
  <si>
    <t>OCC NSA — năm 1</t>
  </si>
  <si>
    <t>OCC NSA — năm 2</t>
  </si>
  <si>
    <t>OCC NSA — năm 3</t>
  </si>
  <si>
    <t>OCC NSA — năm 4</t>
  </si>
  <si>
    <t>OCC NSA — năm 5</t>
  </si>
  <si>
    <t>OCC NSA — ổn định</t>
  </si>
  <si>
    <t>OCC căn — năm 1</t>
  </si>
  <si>
    <t>OCC căn — năm 2</t>
  </si>
  <si>
    <t>OCC căn — năm 3</t>
  </si>
  <si>
    <t>OCC căn — năm 4</t>
  </si>
  <si>
    <t>OCC căn — năm 5</t>
  </si>
  <si>
    <t>OCC căn — ổn định</t>
  </si>
  <si>
    <t>OCC KS — năm 1</t>
  </si>
  <si>
    <t>OCC KS — năm 2</t>
  </si>
  <si>
    <t>OCC KS — năm 3</t>
  </si>
  <si>
    <t>OCC KS — năm 4</t>
  </si>
  <si>
    <t>OCC KS — năm 5</t>
  </si>
  <si>
    <t>OCC KS — ổn định</t>
  </si>
  <si>
    <t>NSA căn hộ nhập trực tiếp (ưu tiên nếu &gt;0)</t>
  </si>
  <si>
    <t>Chi phí pháp lý nhập cứng (ưu tiên nếu &gt;0)</t>
  </si>
  <si>
    <t>CPBH row 11 / doanh thu</t>
  </si>
  <si>
    <t>CPBH row 12 / doanh thu</t>
  </si>
  <si>
    <t>CPBH row 13 / doanh thu</t>
  </si>
  <si>
    <t>CPBH row 14 / doanh thu</t>
  </si>
  <si>
    <t>CPBH row 15 / thực thu</t>
  </si>
  <si>
    <t>CPBH row 16 / doanh thu</t>
  </si>
  <si>
    <t>CPBH row 17 / doanh thu</t>
  </si>
  <si>
    <t>Tỷ lệ dự phòng vào dòng CF FS</t>
  </si>
  <si>
    <t>TIẾN ĐỘ (%) — KHÔNG CHÈN/XÓA HÀNG CỘT</t>
  </si>
  <si>
    <t>TIẾN ĐỘ CHI PHÍ</t>
  </si>
  <si>
    <t>Chi phí chuyển nhượng</t>
  </si>
  <si>
    <t>Đền bù GPMB</t>
  </si>
  <si>
    <t>Chi phí pháp lý</t>
  </si>
  <si>
    <t>Hạ tầng</t>
  </si>
  <si>
    <t>Xây dựng tháp BÁN HÀNG</t>
  </si>
  <si>
    <t>Xây dựng tháp CHO THUÊ</t>
  </si>
  <si>
    <t>Tư vấn, QLDA, khác</t>
  </si>
  <si>
    <t>Dự phòng</t>
  </si>
  <si>
    <t>TIẾN ĐỘ BÁN HÀNG</t>
  </si>
  <si>
    <t>Căn hộ chung cư</t>
  </si>
  <si>
    <t>Shop thương mại</t>
  </si>
  <si>
    <t>MA TRẬN THU TIỀN CĂN HỘ: hàng = năm bán (vintage), cột = năm thu</t>
  </si>
  <si>
    <t>Căn hộ bán năm 2026</t>
  </si>
  <si>
    <t>Căn hộ bán năm 2027</t>
  </si>
  <si>
    <t>Căn hộ bán năm 2028</t>
  </si>
  <si>
    <t>Căn hộ bán năm 2029</t>
  </si>
  <si>
    <t>Căn hộ bán năm 2030</t>
  </si>
  <si>
    <t>Căn hộ bán năm 2031</t>
  </si>
  <si>
    <t>Căn hộ bán năm 2032</t>
  </si>
  <si>
    <t>Căn hộ bán năm 2033</t>
  </si>
  <si>
    <t>Căn hộ bán năm 2034</t>
  </si>
  <si>
    <t>Căn hộ bán năm 2035</t>
  </si>
  <si>
    <t>Căn hộ bán năm 2036</t>
  </si>
  <si>
    <t>Căn hộ bán năm 2037</t>
  </si>
  <si>
    <t>Căn hộ bán năm 2038</t>
  </si>
  <si>
    <t>MA TRẬN THU TIỀN SHOPHOUSE / THƯƠNG MẠI: hàng = năm bán, cột = năm thu</t>
  </si>
  <si>
    <t>Shop bán năm 2026</t>
  </si>
  <si>
    <t>Shop bán năm 2027</t>
  </si>
  <si>
    <t>Shop bán năm 2028</t>
  </si>
  <si>
    <t>Shop bán năm 2029</t>
  </si>
  <si>
    <t>Shop bán năm 2030</t>
  </si>
  <si>
    <t>Shop bán năm 2031</t>
  </si>
  <si>
    <t>Shop bán năm 2032</t>
  </si>
  <si>
    <t>Shop bán năm 2033</t>
  </si>
  <si>
    <t>Shop bán năm 2034</t>
  </si>
  <si>
    <t>Shop bán năm 2035</t>
  </si>
  <si>
    <t>Shop bán năm 2036</t>
  </si>
  <si>
    <t>Shop bán năm 2037</t>
  </si>
  <si>
    <t>Shop bán năm 2038</t>
  </si>
  <si>
    <t>SUẤT VỐN ĐẦU TƯ — QĐ 425/QĐ-BXD 30/3/2026 (1.000 đ/m2 sàn, gồm VAT). Cột A: ngưỡng số tầng (tra MATCH); B..G: SVĐT theo 0–5 hầm; H..M: CP xây dựng; N..S: CP thiết bị.</t>
  </si>
  <si>
    <t>Bảng 1 — Nhà chung cư (mã 11110)</t>
  </si>
  <si>
    <t>Bảng 26 — Công trình đa năng (hỗn hợp) (mã 11260)</t>
  </si>
  <si>
    <t>FS — MÔ HÌNH DÒNG TIỀN HỢP NHẤT · Bán hàng + Cho thuê (công thức trực tiếp · triệu đồng)</t>
  </si>
  <si>
    <t>Khoản mục</t>
  </si>
  <si>
    <t>Tổng / Giá trị</t>
  </si>
  <si>
    <t>KẾT QUẢ ĐẦU TƯ</t>
  </si>
  <si>
    <t>NPV chủ đầu tư @ r%/năm</t>
  </si>
  <si>
    <t>NPV bán riêng</t>
  </si>
  <si>
    <t>A · DÒNG TIỀN HỢP NHẤT THEO NĂM (triệu đồng)</t>
  </si>
  <si>
    <t>Thực thu Bán hàng (gồm VAT) (+)</t>
  </si>
  <si>
    <t>Doanh thu Cho thuê (+)</t>
  </si>
  <si>
    <t>(−) Chi đầu tư Bán hàng (tổng)</t>
  </si>
  <si>
    <t xml:space="preserve">      ↳ Đất (chuyển nhượng + đền bù)</t>
  </si>
  <si>
    <t xml:space="preserve">      ↳ Tiền sử dụng đất</t>
  </si>
  <si>
    <t xml:space="preserve">      ↳ Chi phí pháp lý</t>
  </si>
  <si>
    <t xml:space="preserve">      ↳ CPXD all-in (hạ tầng+XD+tư vấn+dự phòng)</t>
  </si>
  <si>
    <t>(−) Chi phí hoạt động Bán hàng</t>
  </si>
  <si>
    <t>(−) Thuế VAT phải nộp</t>
  </si>
  <si>
    <t>(−) Capex Cho thuê (tổng)</t>
  </si>
  <si>
    <t>(−) Vận hành Cho thuê (opex+FF&amp;E+BH)</t>
  </si>
  <si>
    <t>(−) Thuế TNDN hợp nhất (bù lỗ 5 năm)</t>
  </si>
  <si>
    <t>Σ NGN LƯU HĐKD — TMĐT (sau thuế)</t>
  </si>
  <si>
    <t>(−) Lãi vay (trên dòng tiền tổng)</t>
  </si>
  <si>
    <t>(+) Giải ngân vốn vay</t>
  </si>
  <si>
    <t>(−) Trả nợ gốc</t>
  </si>
  <si>
    <t>Dư nợ vay cuối kỳ (memo)</t>
  </si>
  <si>
    <t>Σ NGN LƯU CHỦ ĐẦU TƯ (levered, sau thuế)</t>
  </si>
  <si>
    <t>B · CHI TIẾT DOANH THU &amp; THU TIỀN</t>
  </si>
  <si>
    <t>DT căn hộ ghi nhận (theo tiến độ bán)</t>
  </si>
  <si>
    <t>DT shop ghi nhận</t>
  </si>
  <si>
    <t>Tổng DT ghi nhận theo vintage</t>
  </si>
  <si>
    <t xml:space="preserve">  thu từ DT bán năm 2026</t>
  </si>
  <si>
    <t xml:space="preserve">  thu từ DT bán năm 2027</t>
  </si>
  <si>
    <t xml:space="preserve">  thu từ DT bán năm 2028</t>
  </si>
  <si>
    <t xml:space="preserve">  thu từ DT bán năm 2029</t>
  </si>
  <si>
    <t xml:space="preserve">  thu từ DT bán năm 2030</t>
  </si>
  <si>
    <t xml:space="preserve">  thu từ DT bán năm 2031</t>
  </si>
  <si>
    <t xml:space="preserve">  thu từ DT bán năm 2032</t>
  </si>
  <si>
    <t xml:space="preserve">  thu từ DT bán năm 2033</t>
  </si>
  <si>
    <t xml:space="preserve">  thu từ DT bán năm 2034</t>
  </si>
  <si>
    <t xml:space="preserve">  thu từ DT bán năm 2035</t>
  </si>
  <si>
    <t xml:space="preserve">  thu từ DT bán năm 2036</t>
  </si>
  <si>
    <t xml:space="preserve">  thu từ DT bán năm 2037</t>
  </si>
  <si>
    <t xml:space="preserve">  thu từ DT bán năm 2038</t>
  </si>
  <si>
    <t>C · CHI TIẾT CHO THUÊ</t>
  </si>
  <si>
    <t>Năm vận hành cho thuê</t>
  </si>
  <si>
    <t>OCC — NSA</t>
  </si>
  <si>
    <t>OCC — căn</t>
  </si>
  <si>
    <t>OCC — khách sạn</t>
  </si>
  <si>
    <t>Hệ số trượt giá thuê</t>
  </si>
  <si>
    <t>DT thuê NSA</t>
  </si>
  <si>
    <t>DT thuê căn</t>
  </si>
  <si>
    <t>DT khách sạn</t>
  </si>
  <si>
    <t>Opex vận hành</t>
  </si>
  <si>
    <t>FF&amp;E</t>
  </si>
  <si>
    <t>Bảo hiểm</t>
  </si>
  <si>
    <t>NOI trước thuế</t>
  </si>
  <si>
    <t>Khấu hao</t>
  </si>
  <si>
    <t>NOI sau thuế</t>
  </si>
  <si>
    <t>PV thuê ngoài horizon (về 2038)</t>
  </si>
  <si>
    <t>D · CHI TIẾT THUẾ TNDN HỢP NHẤT (bù lỗ 5 năm)</t>
  </si>
  <si>
    <t>TN chịu thuế — bán</t>
  </si>
  <si>
    <t>TN chịu thuế — cho thuê</t>
  </si>
  <si>
    <t>TN chịu thuế hợp nhất (EBT)</t>
  </si>
  <si>
    <t>Lỗ còn (1 năm)</t>
  </si>
  <si>
    <t>Lỗ (2 năm)</t>
  </si>
  <si>
    <t>Lỗ (3 năm)</t>
  </si>
  <si>
    <t>Lỗ (4 năm)</t>
  </si>
  <si>
    <t>Lỗ (5 năm — sắp hết hạn)</t>
  </si>
  <si>
    <t>Lợi nhuận dương</t>
  </si>
  <si>
    <t>Bù lỗ tuổi 5</t>
  </si>
  <si>
    <t>Bù lỗ tuổi 4</t>
  </si>
  <si>
    <t>Bù lỗ tuổi 3</t>
  </si>
  <si>
    <t>Bù lỗ tuổi 2</t>
  </si>
  <si>
    <t>Bù lỗ tuổi 1</t>
  </si>
  <si>
    <t>TN tính thuế sau bù lỗ</t>
  </si>
  <si>
    <t>Lỗ phát sinh trong năm</t>
  </si>
  <si>
    <t>E · CHI TIẾT TÀI TRỢ (waterfall tuần tự)</t>
  </si>
  <si>
    <t>Hạn mức vay đủ điều kiện</t>
  </si>
  <si>
    <t>Vốn chủ bắt buộc (đất)</t>
  </si>
  <si>
    <t>Tổng chi đầu tư</t>
  </si>
  <si>
    <t>Dư nợ đầu kỳ</t>
  </si>
  <si>
    <t>0</t>
  </si>
  <si>
    <t>Tiền mặt sau opex</t>
  </si>
  <si>
    <t>Nhu cầu vốn</t>
  </si>
  <si>
    <t>Hạn mức còn lại</t>
  </si>
  <si>
    <t>Thặng dư trả gốc</t>
  </si>
  <si>
    <t>Vốn chủ bơm trong kỳ (equity)</t>
  </si>
  <si>
    <t>Thuế TNDN bán riêng</t>
  </si>
  <si>
    <t>Dòng tiền bán (sau thuế)</t>
  </si>
  <si>
    <t>Dòng tiền cho thuê (sau thuế)</t>
  </si>
  <si>
    <t>F · THÔNG SỐ TRUNG GIAN (tính một lần)</t>
  </si>
  <si>
    <t>NSA căn hộ (m²)</t>
  </si>
  <si>
    <t>NSA shop (m²)</t>
  </si>
  <si>
    <t>CPXD chính (chưa VAT)</t>
  </si>
  <si>
    <t>CPXD tháp cho thuê</t>
  </si>
  <si>
    <t>CPXD tháp bán</t>
  </si>
  <si>
    <t>GFA cho thuê (m²)</t>
  </si>
  <si>
    <t>Tổng GFA (m²)</t>
  </si>
  <si>
    <t>Tỷ trọng phân bổ cho thuê (CPXD)</t>
  </si>
  <si>
    <t>Tỷ trọng phân bổ đất theo sàn đế</t>
  </si>
  <si>
    <t>Cơ sở khấu hao thuê (ex-đất)</t>
  </si>
  <si>
    <t>Hạ tầng (chưa VAT)</t>
  </si>
  <si>
    <t>Tư vấn/QLDA</t>
  </si>
  <si>
    <t>Tổng CPXD (chưa VAT)</t>
  </si>
  <si>
    <t>Tổng CPXD (gồm VAT)</t>
  </si>
  <si>
    <t>Đất + pháp lý</t>
  </si>
  <si>
    <t>Tổng mức đầu tư (chưa lãi vay)</t>
  </si>
  <si>
    <t>Tỷ trọng NSA shop</t>
  </si>
  <si>
    <t>CP hoạt động / DT</t>
  </si>
  <si>
    <t>Trượt giá bán</t>
  </si>
  <si>
    <t>Giá căn hộ (đ/m²)</t>
  </si>
  <si>
    <t>Giá shop (đ/m²)</t>
  </si>
  <si>
    <t>Năm mở bán căn hộ</t>
  </si>
  <si>
    <t>Năm mở bán shop</t>
  </si>
  <si>
    <t>Tổng chuyển nhượng</t>
  </si>
  <si>
    <t>Tổng đền bù</t>
  </si>
  <si>
    <t>Tổng tiền SDĐ</t>
  </si>
  <si>
    <t>Tổng pháp lý</t>
  </si>
  <si>
    <t>Tổng hạ tầng (VAT)</t>
  </si>
  <si>
    <t>Tổng XD bán (VAT)</t>
  </si>
  <si>
    <t>Tổng XD thuê (VAT)</t>
  </si>
  <si>
    <t>Tổng tư vấn (VAT)</t>
  </si>
  <si>
    <t>Tổng dự phòng (VAT)</t>
  </si>
  <si>
    <t>DT căn hộ (gồm VAT)</t>
  </si>
  <si>
    <t>DT shop (gồm VAT)</t>
  </si>
  <si>
    <t>Tổng DT (gồm VAT)</t>
  </si>
  <si>
    <t>Tổng thực thu</t>
  </si>
  <si>
    <t>VAT đầu ra</t>
  </si>
  <si>
    <t>Tổng CP hoạt động</t>
  </si>
  <si>
    <t>VAT đầu vào</t>
  </si>
  <si>
    <t>VAT phải nộp</t>
  </si>
  <si>
    <t>Tổng capex cho thuê</t>
  </si>
  <si>
    <t>Tỷ trọng vốn cho thuê</t>
  </si>
  <si>
    <t>Tổng lãi vay</t>
  </si>
  <si>
    <t>DT thuần (chưa VAT)</t>
  </si>
  <si>
    <t>LNTT cơ sở hợp nhất (đủ lãi vay)</t>
  </si>
  <si>
    <t>Lãi vay phân bổ Bán</t>
  </si>
  <si>
    <t>Lãi vay phân bổ Cho thuê</t>
  </si>
  <si>
    <t>VAT đầu vào xây dựng Cho thuê</t>
  </si>
  <si>
    <t>LNTT Bán riêng</t>
  </si>
  <si>
    <t>LNST Bán riêng</t>
  </si>
  <si>
    <t>TNDN Bán (tổng)</t>
  </si>
  <si>
    <t>PV thuê ngoài horizon</t>
  </si>
  <si>
    <t>LNTT hợp nhất</t>
  </si>
  <si>
    <t>TNDN hợp nhất</t>
  </si>
  <si>
    <t>NGUỒN &amp; SỬ DỤNG VỐN THEO NĂM (Sources &amp; Uses — số liệu THỰC từ engine FS) · Bán hàng + Cho thuê  (triệu đồng)</t>
  </si>
  <si>
    <t>Tổng</t>
  </si>
  <si>
    <t>A · NGUỒN VỐN HUY ĐỘNG (Sources — thực tế)</t>
  </si>
  <si>
    <t>Thực thu khách hàng (gồm VAT)</t>
  </si>
  <si>
    <t>Doanh thu cho thuê</t>
  </si>
  <si>
    <t>Giải ngân vốn vay (draw)</t>
  </si>
  <si>
    <t>TỔNG NGUỒN (chưa kể vốn chủ)</t>
  </si>
  <si>
    <t>B · SỬ DỤNG VỐN (Uses — thực tế · lãi vay tính 1 lần)</t>
  </si>
  <si>
    <t>Chi đầu tư (TMĐT, chưa lãi vay)</t>
  </si>
  <si>
    <t>Chi phí hoạt động (bán + cho thuê)</t>
  </si>
  <si>
    <t>Thuế VAT phải nộp</t>
  </si>
  <si>
    <t>Thuế TNDN hợp nhất</t>
  </si>
  <si>
    <t>Trả nợ gốc vay</t>
  </si>
  <si>
    <t>Trả lãi vay (chi phí tài chính — 1 lần)</t>
  </si>
  <si>
    <t>TỔNG SỬ DỤNG</t>
  </si>
  <si>
    <t>C · NGN LƯU CHỦ ĐẦU TƯ &amp; DƯ NỢ</t>
  </si>
  <si>
    <t>Σ Ngân lưu chủ đầu tư (cfEq = Nguồn − Sử dụng)</t>
  </si>
  <si>
    <t xml:space="preserve">   ↳ Vốn chủ bơm trong kỳ (equity, memo)</t>
  </si>
  <si>
    <t>Dư nợ vay cuối kỳ</t>
  </si>
  <si>
    <t>D · CƠ CẤU NGUỒN VỐN — CAPITAL STACK (tĩnh, phương pháp rổ)</t>
  </si>
  <si>
    <t>Vốn chủ sở hữu (gồm lãi vay vốn hoá)</t>
  </si>
  <si>
    <t>Vay ngân hàng</t>
  </si>
  <si>
    <t>Huy động khách hàng</t>
  </si>
  <si>
    <t>TỔNG NGUỒN VỐN</t>
  </si>
  <si>
    <t>Tỷ trọng Vốn chủ</t>
  </si>
  <si>
    <t>Tỷ trọng Vay ngân hàng</t>
  </si>
  <si>
    <t>Tỷ trọng Huy động khách hàng</t>
  </si>
  <si>
    <t>WACC (vốn có chi phí: vốn chủ + vay)</t>
  </si>
  <si>
    <t>Trần % tiền KH dùng cho đầu tư</t>
  </si>
  <si>
    <t>A&amp;B là Sources &amp; Uses THỰC từ engine (collArr/gross/draw/equity/invest/op/VAT/CIT/repay/interest) — lãi vay chỉ 1 lần ở dòng Trả lãi, không vốn hoá lại vào Chi đầu tư. D là Capital Stack tĩnh (phương pháp rổ) — tách riêng khỏi dòng tiền theo năm.</t>
  </si>
  <si>
    <t>CƠ CẤU PHN BỔ CHI PHÍ — Bán hàng / Cho thuê  (triệu đồng · liên kết FS)</t>
  </si>
  <si>
    <t>Hạng mục chi phí</t>
  </si>
  <si>
    <t>Cơ sở phân bổ</t>
  </si>
  <si>
    <t>Đất (chuyển nhượng + đền bù)</t>
  </si>
  <si>
    <t>Sàn đế (diện tích đất)</t>
  </si>
  <si>
    <t>Hạ tầng (gồm VAT)</t>
  </si>
  <si>
    <t>CPXD tháp (gồm VAT)</t>
  </si>
  <si>
    <t>Theo tháp — suất đầu tư</t>
  </si>
  <si>
    <t>Tư vấn / QLDA / Khác (gồm VAT)</t>
  </si>
  <si>
    <t>Theo CPXD</t>
  </si>
  <si>
    <t>Dự phòng (gồm VAT)</t>
  </si>
  <si>
    <t>Lãi vay (vốn hoá)</t>
  </si>
  <si>
    <t>Theo vốn đầu tư (CPXD)</t>
  </si>
  <si>
    <t>Tỷ trọng phân bổ đất theo sàn đế (cho thuê)</t>
  </si>
  <si>
    <t>Tỷ trọng CPXD cho thuê (tư vấn/dự phòng/lãi)</t>
  </si>
  <si>
    <t>Tỷ trọng vốn đầu tư cho thuê (leaseShare)</t>
  </si>
  <si>
    <t>Ghi chú: Đất/SDĐ/Pháp lý/Hạ tầng phân bổ theo SÀN ĐẾ (diện tích đất); CPXD tính riêng từng tháp theo suất đầu tư; Tư vấn/QLDA/Dự phòng &amp; Lãi vay theo CPXD. Tổng hợp nhất không đổi.</t>
  </si>
  <si>
    <t>KHÁI TOÁN CPXD THEO QĐ 425/QĐ-BXD — toàn bộ bằng công thức tra sheet QD425 theo số tầng nổi/hầm từng tháp. Đơn vị hiển thị: triệu đồng (giá trị gốc vẫn tính bằng đồng).</t>
  </si>
  <si>
    <t>Hạng mục</t>
  </si>
  <si>
    <t>Tháp 2</t>
  </si>
  <si>
    <t>Tháp 3</t>
  </si>
  <si>
    <t>Tháp 4</t>
  </si>
  <si>
    <t>GFA tính toán (nổi + hầm), m2</t>
  </si>
  <si>
    <t>Hàng tra (tier)</t>
  </si>
  <si>
    <t>Cột tra (theo số hầm)</t>
  </si>
  <si>
    <t>Suất VĐT tra bảng (1.000đ/m2)</t>
  </si>
  <si>
    <t>Suất CP xây dựng (1.000đ/m2)</t>
  </si>
  <si>
    <t>Suất CP thiết bị (1.000đ/m2)</t>
  </si>
  <si>
    <t>Suất QLDA+TV+khác (1.000đ/m2)</t>
  </si>
  <si>
    <t>Suất VĐT điều chỉnh Kkv×Ktg (1.000đ/m2)</t>
  </si>
  <si>
    <t>Thành tiền VĐT = GFA × suất (đồng)</t>
  </si>
  <si>
    <t>— Trong đó: xây dựng (đồng)</t>
  </si>
  <si>
    <t>— Trong đó: thiết bị (đồng)</t>
  </si>
  <si>
    <t>TỔNG VĐT các tháp theo QĐ 425 (đồng)</t>
  </si>
  <si>
    <t>Hạ tầng tham chiếu Bảng 51 (&lt;20ha): 9.257 tr.đ/ha × diện tích (đồng)</t>
  </si>
  <si>
    <t>CPXD đang dùng trong FS (gồm VAT, gồm tư vấn &amp; dự phòng) (đồng)</t>
  </si>
  <si>
    <t>Chênh lệch FS so với khái toán QĐ 425 (đồng)</t>
  </si>
  <si>
    <t>Ghi chú: SVĐT QĐ 425 đã gồm XD+TB+QLDA+TV+khác+VAT; chưa gồm dự phòng, GPMB/tiền đất, lãi vay.</t>
  </si>
  <si>
    <t>KẾT QUẢ KHỚP WEB — giá trị lấy trực tiếp từ engine JavaScript trên trang FS</t>
  </si>
  <si>
    <t>Chỉ tiêu</t>
  </si>
  <si>
    <t>Giá trị</t>
  </si>
  <si>
    <t>Đơn vị / ghi chú</t>
  </si>
  <si>
    <t>TMĐT (chưa lãi vay)</t>
  </si>
  <si>
    <t>Lãi vay (dòng tiền tổng)</t>
  </si>
  <si>
    <t>DT bán (có VAT)</t>
  </si>
  <si>
    <t>Tổng thực thu bán hàng</t>
  </si>
  <si>
    <t>PV tài sản cho thuê</t>
  </si>
  <si>
    <t>LNST tổng hợp</t>
  </si>
  <si>
    <t>NPV CĐT @ r% (tổng)</t>
  </si>
  <si>
    <t>IRR dự án (tổng)</t>
  </si>
  <si>
    <t>decimal</t>
  </si>
  <si>
    <t>IRR CĐT (tổng)</t>
  </si>
  <si>
    <t>Hoàn vốn</t>
  </si>
  <si>
    <t>NSA căn hộ</t>
  </si>
  <si>
    <t>NSA shop</t>
  </si>
  <si>
    <t>Thực thu bán</t>
  </si>
  <si>
    <t>DT thuê/exit</t>
  </si>
  <si>
    <t>Chi đầu tư bán</t>
  </si>
  <si>
    <t>Chi đầu tư thuê</t>
  </si>
  <si>
    <t>Opex bán</t>
  </si>
  <si>
    <t>VAT nộp</t>
  </si>
  <si>
    <t>CIT cash</t>
  </si>
  <si>
    <t>Lãi vay</t>
  </si>
  <si>
    <t>Giải ngân vay</t>
  </si>
  <si>
    <t>Trả gốc</t>
  </si>
  <si>
    <t>CF dự án</t>
  </si>
  <si>
    <t>CF CĐT</t>
  </si>
  <si>
    <t>Dư nợ cuối kỳ</t>
  </si>
  <si>
    <t>Thu căn hộ</t>
  </si>
  <si>
    <t>Thu shop</t>
  </si>
  <si>
    <t>Tổng thu</t>
  </si>
  <si>
    <t>IRR SOLVER — BISECTION BẰNG CÔNG THỨC EXCEL (80 vòng, bracket -99% đến 1.000%)</t>
  </si>
  <si>
    <t>Vòng</t>
  </si>
  <si>
    <t>Low</t>
  </si>
  <si>
    <t>High</t>
  </si>
  <si>
    <t>Mid</t>
  </si>
  <si>
    <t>NPV(Mid)</t>
  </si>
  <si>
    <t>IRR CĐT</t>
  </si>
  <si>
    <t>IRR dự án</t>
  </si>
  <si>
    <t>HƯỚNG DẪN SỬ DỤNG</t>
  </si>
  <si>
    <t>1. Sheet INPUT: tham số dự án (giá trị thuần). Sửa cột C..F. KHÔNG chèn/xóa hàng cột.</t>
  </si>
  <si>
    <t>1b. NSA căn hộ nhập trực tiếp nằm tại dòng 116; nếu để 0/trống web sẽ fallback theo GFA × tỷ lệ thương phẩm.</t>
  </si>
  <si>
    <t>2. Sheet TIENDO: tiến độ chi phí, bán hàng, ma trận thu tiền (%).</t>
  </si>
  <si>
    <t>3. Sheet FS (file đầy đủ): toàn bộ tính toán bằng CÔNG THỨC — sửa INPUT/TIENDO là FS tự tính lại.</t>
  </si>
  <si>
    <t>4. Sheet QD425 + KHAITOAN: khái toán CPXD tra suất vốn QĐ 425/QĐ-BXD 30/3/2026 bằng công thức INDEX/MATCH.</t>
  </si>
  <si>
    <t>5. Nhập lại vào web: nút "Nhập Excel INPUT" (web chỉ đọc INPUT + TIENDO; file FS đầy đủ cũng nhập được).</t>
  </si>
  <si>
    <t>6. Độ nhạy trên Excel: Data &gt; What-If Analysis &gt; Data Table; ô biến trỏ INPUT (giá bán C23, suất XD C48,</t>
  </si>
  <si>
    <t xml:space="preserve">   tiền SDĐ C14...), xem kết quả ở sheet DASHBOARD &amp; FS (giá trị lấy trực tiếp từ engine web — không vòng lặp).</t>
  </si>
  <si>
    <t>8. Kiểm tra: hàng tiến độ có sử dụng phải tổng 100%; vintage có doanh thu phải thu đủ 100%.</t>
  </si>
  <si>
    <t>Ngày dòng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</si>
</sst>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,;\-#,##0,,;&quot;-&quot;"/>
    <numFmt numFmtId="165" formatCode="0.0%"/>
  </numFmts>
  <fonts count="8" x14ac:knownFonts="1">
    <font>
      <sz val="11"/>
      <color rgb="FF404040"/>
      <name val="Calibri"/>
    </font>
    <font>
      <b/>
      <sz val="11"/>
      <color rgb="FF1F3864"/>
      <name val="Calibri"/>
    </font>
    <font>
      <b/>
      <sz val="11.5"/>
      <color rgb="FFFFFFFF"/>
      <name val="Calibri"/>
    </font>
    <font>
      <b/>
      <sz val="17"/>
      <color rgb="FF1F3864"/>
      <name val="Calibri"/>
    </font>
    <font>
      <i/>
      <sz val="9.5"/>
      <color rgb="FF808080"/>
      <name val="Calibri"/>
    </font>
    <font>
      <b/>
      <sz val="26"/>
      <color rgb="FFFFFFFF"/>
      <name val="Calibri"/>
    </font>
    <font>
      <b/>
      <sz val="13"/>
      <color rgb="FFFFFFFF"/>
      <name val="Calibri"/>
    </font>
    <font>
      <b/>
      <sz val="10"/>
      <color rgb="FFB23A2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AF0F8"/>
      </patternFill>
    </fill>
    <fill>
      <patternFill patternType="solid">
        <fgColor rgb="FFC9A22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64" fontId="0" fillId="0" borderId="1" xfId="0" applyNumberFormat="1" applyBorder="1"/>
    <xf numFmtId="164" fontId="1" fillId="4" borderId="2" xfId="0" applyNumberFormat="1" applyFont="1" applyFill="1" applyBorder="1"/>
    <xf numFmtId="165" fontId="0" fillId="0" borderId="1" xfId="0" applyNumberFormat="1" applyBorder="1"/>
    <xf numFmtId="0" fontId="0" fillId="3" borderId="1" xfId="0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3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E39"/>
  </sheetPr>
  <dimension ref="B2:F34"/>
  <sheetViews>
    <sheetView showGridLines="0" tabSelected="1" workbookViewId="0">
      <pane activePane="bottomRight" state="frozen"/>
    </sheetView>
  </sheetViews>
  <sheetFormatPr defaultRowHeight="15" x14ac:dyDescent="0.25"/>
  <cols>
    <col min="1" max="1" width="3" customWidth="1"/>
    <col min="2" max="2" width="28" customWidth="1"/>
    <col min="3" max="3" width="20" customWidth="1"/>
    <col min="4" max="5" width="16" customWidth="1"/>
    <col min="6" max="6" width="18" customWidth="1"/>
  </cols>
  <sheetData>
    <row r="2" spans="2:6" ht="24" customHeight="1" x14ac:dyDescent="0.25">
      <c r="B2" s="23" t="s">
        <v>0</v>
      </c>
      <c r="C2" s="23" t="s">
        <v>1</v>
      </c>
      <c r="D2" s="23" t="s">
        <v>1</v>
      </c>
      <c r="E2" s="23" t="s">
        <v>1</v>
      </c>
      <c r="F2" s="23" t="s">
        <v>1</v>
      </c>
    </row>
    <row r="5" spans="2:6" ht="48" customHeight="1" x14ac:dyDescent="0.25">
      <c r="B5" s="24" t="s">
        <v>2</v>
      </c>
      <c r="C5" s="24" t="s">
        <v>1</v>
      </c>
      <c r="D5" s="24" t="s">
        <v>1</v>
      </c>
      <c r="E5" s="24" t="s">
        <v>1</v>
      </c>
      <c r="F5" s="24" t="s">
        <v>1</v>
      </c>
    </row>
    <row r="6" spans="2:6" ht="21.95" customHeight="1" x14ac:dyDescent="0.25">
      <c r="B6" s="25" t="s">
        <v>3</v>
      </c>
      <c r="C6" s="25" t="s">
        <v>1</v>
      </c>
      <c r="D6" s="25" t="s">
        <v>1</v>
      </c>
      <c r="E6" s="25" t="s">
        <v>1</v>
      </c>
      <c r="F6" s="25" t="s">
        <v>1</v>
      </c>
    </row>
    <row r="7" spans="2:6" ht="18" customHeight="1" x14ac:dyDescent="0.25">
      <c r="B7" s="26" t="s">
        <v>4</v>
      </c>
      <c r="C7" s="26" t="s">
        <v>1</v>
      </c>
      <c r="D7" s="26" t="s">
        <v>1</v>
      </c>
      <c r="E7" s="26" t="s">
        <v>1</v>
      </c>
      <c r="F7" s="26" t="s">
        <v>1</v>
      </c>
    </row>
    <row r="9" spans="2:6" x14ac:dyDescent="0.25">
      <c r="B9" s="15" t="s">
        <v>5</v>
      </c>
      <c r="C9" s="20" t="s">
        <v>6</v>
      </c>
      <c r="D9" s="21"/>
      <c r="E9" s="21"/>
      <c r="F9" s="21"/>
    </row>
    <row r="10" spans="2:6" x14ac:dyDescent="0.25">
      <c r="B10" s="15" t="s">
        <v>7</v>
      </c>
      <c r="C10" s="20" t="s">
        <v>8</v>
      </c>
      <c r="D10" s="21"/>
      <c r="E10" s="21"/>
      <c r="F10" s="21"/>
    </row>
    <row r="11" spans="2:6" x14ac:dyDescent="0.25">
      <c r="B11" s="15" t="s">
        <v>9</v>
      </c>
      <c r="C11" s="20" t="s">
        <v>10</v>
      </c>
      <c r="D11" s="21"/>
      <c r="E11" s="21"/>
      <c r="F11" s="21"/>
    </row>
    <row r="12" spans="2:6" ht="24" customHeight="1" x14ac:dyDescent="0.25">
      <c r="B12" s="27" t="s">
        <v>11</v>
      </c>
      <c r="C12" s="27" t="s">
        <v>1</v>
      </c>
      <c r="D12" s="27" t="s">
        <v>1</v>
      </c>
      <c r="E12" s="27" t="s">
        <v>1</v>
      </c>
      <c r="F12" s="27" t="s">
        <v>1</v>
      </c>
    </row>
    <row r="14" spans="2:6" ht="20.100000000000001" customHeight="1" x14ac:dyDescent="0.25">
      <c r="B14" s="19" t="s">
        <v>12</v>
      </c>
      <c r="C14" s="19" t="s">
        <v>1</v>
      </c>
      <c r="D14" s="19" t="s">
        <v>1</v>
      </c>
      <c r="E14" s="19" t="s">
        <v>1</v>
      </c>
      <c r="F14" s="19" t="s">
        <v>1</v>
      </c>
    </row>
    <row r="15" spans="2:6" ht="26.1" customHeight="1" x14ac:dyDescent="0.25">
      <c r="B15" s="2" t="s">
        <v>13</v>
      </c>
      <c r="C15" s="22" t="s">
        <v>14</v>
      </c>
      <c r="D15" s="21"/>
      <c r="E15" s="21"/>
      <c r="F15" s="21"/>
    </row>
    <row r="16" spans="2:6" x14ac:dyDescent="0.25">
      <c r="B16" s="2" t="s">
        <v>15</v>
      </c>
      <c r="C16" s="14">
        <v>-119344666949.18066</v>
      </c>
      <c r="D16" s="11" t="s">
        <v>16</v>
      </c>
    </row>
    <row r="17" spans="2:6" x14ac:dyDescent="0.25">
      <c r="B17" s="2" t="s">
        <v>17</v>
      </c>
      <c r="C17" s="8">
        <v>2.9682968707244184E-3</v>
      </c>
      <c r="D17" s="11" t="s">
        <v>1</v>
      </c>
    </row>
    <row r="18" spans="2:6" ht="30" x14ac:dyDescent="0.25">
      <c r="B18" s="2" t="s">
        <v>18</v>
      </c>
      <c r="C18" s="8">
        <v>2.3958359123340545E-3</v>
      </c>
      <c r="D18" s="11" t="s">
        <v>1</v>
      </c>
    </row>
    <row r="19" spans="2:6" x14ac:dyDescent="0.25">
      <c r="B19" s="2" t="s">
        <v>19</v>
      </c>
      <c r="C19" s="2" t="s">
        <v>20</v>
      </c>
      <c r="D19" s="11" t="s">
        <v>1</v>
      </c>
    </row>
    <row r="20" spans="2:6" x14ac:dyDescent="0.25">
      <c r="B20" s="2" t="s">
        <v>21</v>
      </c>
      <c r="C20" s="14">
        <v>68678296135.27285</v>
      </c>
      <c r="D20" s="11" t="s">
        <v>16</v>
      </c>
    </row>
    <row r="21" spans="2:6" ht="30" x14ac:dyDescent="0.25">
      <c r="B21" s="2" t="s">
        <v>22</v>
      </c>
      <c r="C21" s="6">
        <v>1231766031403.9998</v>
      </c>
      <c r="D21" s="11" t="s">
        <v>16</v>
      </c>
    </row>
    <row r="23" spans="2:6" ht="20.100000000000001" customHeight="1" x14ac:dyDescent="0.25">
      <c r="B23" s="19" t="s">
        <v>23</v>
      </c>
      <c r="C23" s="19" t="s">
        <v>1</v>
      </c>
      <c r="D23" s="19" t="s">
        <v>1</v>
      </c>
      <c r="E23" s="19" t="s">
        <v>1</v>
      </c>
      <c r="F23" s="19" t="s">
        <v>1</v>
      </c>
    </row>
    <row r="24" spans="2:6" x14ac:dyDescent="0.25">
      <c r="B24" s="2" t="s">
        <v>24</v>
      </c>
      <c r="C24" s="18" t="s">
        <v>25</v>
      </c>
      <c r="D24" s="18" t="s">
        <v>1</v>
      </c>
      <c r="E24" s="18" t="s">
        <v>1</v>
      </c>
      <c r="F24" s="18" t="s">
        <v>1</v>
      </c>
    </row>
    <row r="25" spans="2:6" x14ac:dyDescent="0.25">
      <c r="B25" s="2" t="s">
        <v>26</v>
      </c>
      <c r="C25" s="18" t="s">
        <v>27</v>
      </c>
      <c r="D25" s="18" t="s">
        <v>1</v>
      </c>
      <c r="E25" s="18" t="s">
        <v>1</v>
      </c>
      <c r="F25" s="18" t="s">
        <v>1</v>
      </c>
    </row>
    <row r="26" spans="2:6" x14ac:dyDescent="0.25">
      <c r="B26" s="2" t="s">
        <v>28</v>
      </c>
      <c r="C26" s="18" t="s">
        <v>29</v>
      </c>
      <c r="D26" s="18" t="s">
        <v>1</v>
      </c>
      <c r="E26" s="18" t="s">
        <v>1</v>
      </c>
      <c r="F26" s="18" t="s">
        <v>1</v>
      </c>
    </row>
    <row r="27" spans="2:6" x14ac:dyDescent="0.25">
      <c r="B27" s="2" t="s">
        <v>30</v>
      </c>
      <c r="C27" s="18" t="s">
        <v>31</v>
      </c>
      <c r="D27" s="18" t="s">
        <v>1</v>
      </c>
      <c r="E27" s="18" t="s">
        <v>1</v>
      </c>
      <c r="F27" s="18" t="s">
        <v>1</v>
      </c>
    </row>
    <row r="28" spans="2:6" x14ac:dyDescent="0.25">
      <c r="B28" s="2" t="s">
        <v>32</v>
      </c>
      <c r="C28" s="18" t="s">
        <v>33</v>
      </c>
      <c r="D28" s="18" t="s">
        <v>1</v>
      </c>
      <c r="E28" s="18" t="s">
        <v>1</v>
      </c>
      <c r="F28" s="18" t="s">
        <v>1</v>
      </c>
    </row>
    <row r="29" spans="2:6" x14ac:dyDescent="0.25">
      <c r="B29" s="2" t="s">
        <v>34</v>
      </c>
      <c r="C29" s="18" t="s">
        <v>35</v>
      </c>
      <c r="D29" s="18" t="s">
        <v>1</v>
      </c>
      <c r="E29" s="18" t="s">
        <v>1</v>
      </c>
      <c r="F29" s="18" t="s">
        <v>1</v>
      </c>
    </row>
    <row r="30" spans="2:6" x14ac:dyDescent="0.25">
      <c r="B30" s="2" t="s">
        <v>36</v>
      </c>
      <c r="C30" s="18" t="s">
        <v>37</v>
      </c>
      <c r="D30" s="18" t="s">
        <v>1</v>
      </c>
      <c r="E30" s="18" t="s">
        <v>1</v>
      </c>
      <c r="F30" s="18" t="s">
        <v>1</v>
      </c>
    </row>
    <row r="31" spans="2:6" x14ac:dyDescent="0.25">
      <c r="B31" s="2" t="s">
        <v>38</v>
      </c>
      <c r="C31" s="18" t="s">
        <v>39</v>
      </c>
      <c r="D31" s="18" t="s">
        <v>1</v>
      </c>
      <c r="E31" s="18" t="s">
        <v>1</v>
      </c>
      <c r="F31" s="18" t="s">
        <v>1</v>
      </c>
    </row>
    <row r="32" spans="2:6" x14ac:dyDescent="0.25">
      <c r="B32" s="2" t="s">
        <v>40</v>
      </c>
      <c r="C32" s="18" t="s">
        <v>41</v>
      </c>
      <c r="D32" s="18" t="s">
        <v>1</v>
      </c>
      <c r="E32" s="18" t="s">
        <v>1</v>
      </c>
      <c r="F32" s="18" t="s">
        <v>1</v>
      </c>
    </row>
    <row r="34" spans="2:6" x14ac:dyDescent="0.25">
      <c r="B34" s="18" t="s">
        <v>42</v>
      </c>
      <c r="C34" s="18" t="s">
        <v>1</v>
      </c>
      <c r="D34" s="18" t="s">
        <v>1</v>
      </c>
      <c r="E34" s="18" t="s">
        <v>1</v>
      </c>
      <c r="F34" s="18" t="s">
        <v>1</v>
      </c>
    </row>
  </sheetData>
  <mergeCells count="21">
    <mergeCell ref="B2:F2"/>
    <mergeCell ref="B5:F5"/>
    <mergeCell ref="B6:F6"/>
    <mergeCell ref="B7:F7"/>
    <mergeCell ref="B12:F12"/>
    <mergeCell ref="B14:F14"/>
    <mergeCell ref="B23:F23"/>
    <mergeCell ref="C9:F9"/>
    <mergeCell ref="C10:F10"/>
    <mergeCell ref="C11:F11"/>
    <mergeCell ref="C15:F15"/>
    <mergeCell ref="B34:F34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B1:E6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" customWidth="1"/>
    <col min="2" max="2" width="44" customWidth="1"/>
    <col min="3" max="3" width="17" customWidth="1"/>
    <col min="4" max="4" width="12" customWidth="1"/>
    <col min="5" max="5" width="42" customWidth="1"/>
  </cols>
  <sheetData>
    <row r="1" spans="2:5" ht="30" customHeight="1" x14ac:dyDescent="0.25">
      <c r="B1" s="22" t="s">
        <v>43</v>
      </c>
      <c r="C1" s="21"/>
      <c r="D1" s="21"/>
      <c r="E1" s="21"/>
    </row>
    <row r="3" spans="2:5" ht="21.95" customHeight="1" x14ac:dyDescent="0.25">
      <c r="B3" s="4" t="s">
        <v>44</v>
      </c>
      <c r="C3" s="19" t="s">
        <v>14</v>
      </c>
      <c r="D3" s="19" t="s">
        <v>1</v>
      </c>
      <c r="E3" s="19" t="s">
        <v>1</v>
      </c>
    </row>
    <row r="5" spans="2:5" x14ac:dyDescent="0.25">
      <c r="B5" s="4" t="s">
        <v>45</v>
      </c>
      <c r="C5" s="4" t="s">
        <v>1</v>
      </c>
      <c r="D5" s="4" t="s">
        <v>1</v>
      </c>
      <c r="E5" s="4" t="s">
        <v>1</v>
      </c>
    </row>
    <row r="6" spans="2:5" x14ac:dyDescent="0.25">
      <c r="B6" s="2" t="s">
        <v>15</v>
      </c>
      <c r="C6" s="14">
        <v>-119344666949.18066</v>
      </c>
      <c r="D6" s="10" t="s">
        <v>16</v>
      </c>
    </row>
    <row r="7" spans="2:5" x14ac:dyDescent="0.25">
      <c r="B7" s="2" t="s">
        <v>46</v>
      </c>
      <c r="C7" s="8">
        <v>2.9682968707244184E-3</v>
      </c>
      <c r="D7" s="10" t="s">
        <v>1</v>
      </c>
    </row>
    <row r="8" spans="2:5" x14ac:dyDescent="0.25">
      <c r="B8" s="2" t="s">
        <v>47</v>
      </c>
      <c r="C8" s="8">
        <v>2.3958359123340545E-3</v>
      </c>
      <c r="D8" s="10" t="s">
        <v>1</v>
      </c>
    </row>
    <row r="9" spans="2:5" x14ac:dyDescent="0.25">
      <c r="B9" s="2" t="s">
        <v>19</v>
      </c>
      <c r="C9" s="2" t="s">
        <v>20</v>
      </c>
      <c r="D9" s="10" t="s">
        <v>1</v>
      </c>
    </row>
    <row r="10" spans="2:5" x14ac:dyDescent="0.25">
      <c r="B10" s="2" t="s">
        <v>21</v>
      </c>
      <c r="C10" s="14">
        <v>68678296135.27285</v>
      </c>
      <c r="D10" s="10" t="s">
        <v>16</v>
      </c>
    </row>
    <row r="11" spans="2:5" x14ac:dyDescent="0.25">
      <c r="B11" s="2" t="s">
        <v>48</v>
      </c>
      <c r="C11" s="6">
        <v>17169574033.818214</v>
      </c>
      <c r="D11" s="10" t="s">
        <v>16</v>
      </c>
    </row>
    <row r="13" spans="2:5" x14ac:dyDescent="0.25">
      <c r="B13" s="4" t="s">
        <v>49</v>
      </c>
      <c r="C13" s="4" t="s">
        <v>1</v>
      </c>
      <c r="D13" s="4" t="s">
        <v>1</v>
      </c>
      <c r="E13" s="4" t="s">
        <v>1</v>
      </c>
    </row>
    <row r="14" spans="2:5" ht="30" x14ac:dyDescent="0.25">
      <c r="B14" s="2" t="s">
        <v>50</v>
      </c>
      <c r="C14" s="6">
        <v>749069999999.99988</v>
      </c>
      <c r="D14" s="8">
        <v>0.60812685274831768</v>
      </c>
      <c r="E14" s="2" t="s">
        <v>51</v>
      </c>
    </row>
    <row r="15" spans="2:5" x14ac:dyDescent="0.25">
      <c r="B15" s="2" t="s">
        <v>52</v>
      </c>
      <c r="C15" s="6">
        <v>443765671249.99994</v>
      </c>
      <c r="D15" s="8">
        <v>0.36026782679189812</v>
      </c>
      <c r="E15" s="2" t="s">
        <v>53</v>
      </c>
    </row>
    <row r="16" spans="2:5" x14ac:dyDescent="0.25">
      <c r="B16" s="2" t="s">
        <v>54</v>
      </c>
      <c r="C16" s="6">
        <v>38930360154</v>
      </c>
      <c r="D16" s="8">
        <v>3.1605320459784182E-2</v>
      </c>
      <c r="E16" s="2" t="s">
        <v>55</v>
      </c>
    </row>
    <row r="17" spans="2:5" x14ac:dyDescent="0.25">
      <c r="B17" s="2" t="s">
        <v>56</v>
      </c>
      <c r="C17" s="14">
        <v>1231766031403.9998</v>
      </c>
      <c r="D17" s="8">
        <v>1</v>
      </c>
    </row>
    <row r="19" spans="2:5" x14ac:dyDescent="0.25">
      <c r="B19" s="4" t="s">
        <v>57</v>
      </c>
      <c r="C19" s="4" t="s">
        <v>1</v>
      </c>
      <c r="D19" s="4" t="s">
        <v>1</v>
      </c>
      <c r="E19" s="4" t="s">
        <v>1</v>
      </c>
    </row>
    <row r="20" spans="2:5" ht="30" x14ac:dyDescent="0.25">
      <c r="B20" s="2" t="s">
        <v>58</v>
      </c>
      <c r="C20" s="6">
        <v>512984969875</v>
      </c>
      <c r="D20" s="8">
        <v>0.43005502118949146</v>
      </c>
      <c r="E20" s="2" t="s">
        <v>59</v>
      </c>
    </row>
    <row r="21" spans="2:5" ht="30" x14ac:dyDescent="0.25">
      <c r="B21" s="2" t="s">
        <v>60</v>
      </c>
      <c r="C21" s="6">
        <v>596281732708.90906</v>
      </c>
      <c r="D21" s="8">
        <v>0.49988589969316705</v>
      </c>
      <c r="E21" s="2" t="s">
        <v>51</v>
      </c>
    </row>
    <row r="22" spans="2:5" x14ac:dyDescent="0.25">
      <c r="B22" s="2" t="s">
        <v>61</v>
      </c>
      <c r="C22" s="6">
        <v>83568968666.090942</v>
      </c>
      <c r="D22" s="8">
        <v>7.0059079117341536E-2</v>
      </c>
      <c r="E22" s="2" t="s">
        <v>62</v>
      </c>
    </row>
    <row r="24" spans="2:5" x14ac:dyDescent="0.25">
      <c r="B24" s="4" t="s">
        <v>63</v>
      </c>
      <c r="C24" s="4" t="s">
        <v>1</v>
      </c>
      <c r="D24" s="4" t="s">
        <v>1</v>
      </c>
      <c r="E24" s="4" t="s">
        <v>1</v>
      </c>
    </row>
    <row r="25" spans="2:5" x14ac:dyDescent="0.25">
      <c r="B25" s="3" t="s">
        <v>64</v>
      </c>
      <c r="C25" s="3" t="s">
        <v>65</v>
      </c>
      <c r="D25" s="3" t="s">
        <v>66</v>
      </c>
      <c r="E25" s="3" t="s">
        <v>67</v>
      </c>
    </row>
    <row r="26" spans="2:5" x14ac:dyDescent="0.25">
      <c r="B26" s="2" t="s">
        <v>68</v>
      </c>
      <c r="C26" s="6">
        <v>1192835671249.9998</v>
      </c>
      <c r="D26" s="6">
        <v>310320891953.79987</v>
      </c>
      <c r="E26" s="2" t="s">
        <v>69</v>
      </c>
    </row>
    <row r="27" spans="2:5" x14ac:dyDescent="0.25">
      <c r="B27" s="2" t="s">
        <v>70</v>
      </c>
      <c r="C27" s="6">
        <v>38930360154</v>
      </c>
      <c r="D27" s="6">
        <v>38930360154</v>
      </c>
      <c r="E27" s="2" t="s">
        <v>71</v>
      </c>
    </row>
    <row r="28" spans="2:5" x14ac:dyDescent="0.25">
      <c r="B28" s="2" t="s">
        <v>72</v>
      </c>
      <c r="C28" s="6">
        <v>319300108580.90918</v>
      </c>
      <c r="D28" s="6">
        <v>0</v>
      </c>
      <c r="E28" s="2" t="s">
        <v>73</v>
      </c>
    </row>
    <row r="29" spans="2:5" x14ac:dyDescent="0.25">
      <c r="B29" s="2" t="s">
        <v>74</v>
      </c>
      <c r="C29" s="6">
        <v>17169574033.818214</v>
      </c>
      <c r="D29" s="6">
        <v>0</v>
      </c>
      <c r="E29" s="2" t="s">
        <v>75</v>
      </c>
    </row>
    <row r="30" spans="2:5" x14ac:dyDescent="0.25">
      <c r="B30" s="2" t="s">
        <v>76</v>
      </c>
      <c r="C30" s="14">
        <v>1568235714018.7271</v>
      </c>
      <c r="D30" s="14">
        <v>349251252107.79987</v>
      </c>
      <c r="E30" s="14" t="s">
        <v>77</v>
      </c>
    </row>
    <row r="31" spans="2:5" x14ac:dyDescent="0.25">
      <c r="B31" s="2" t="s">
        <v>78</v>
      </c>
      <c r="C31" s="8">
        <v>0.22270328942631726</v>
      </c>
      <c r="D31" s="8">
        <v>0.32710960813437656</v>
      </c>
      <c r="E31" s="2" t="s">
        <v>79</v>
      </c>
    </row>
    <row r="32" spans="2:5" x14ac:dyDescent="0.25">
      <c r="B32" s="2" t="s">
        <v>80</v>
      </c>
      <c r="C32" s="6">
        <v>38930360154</v>
      </c>
    </row>
    <row r="34" spans="2:5" x14ac:dyDescent="0.25">
      <c r="B34" s="4" t="s">
        <v>81</v>
      </c>
      <c r="C34" s="4" t="s">
        <v>1</v>
      </c>
      <c r="D34" s="4" t="s">
        <v>1</v>
      </c>
      <c r="E34" s="4" t="s">
        <v>1</v>
      </c>
    </row>
    <row r="35" spans="2:5" ht="30" x14ac:dyDescent="0.25">
      <c r="B35" s="3" t="s">
        <v>82</v>
      </c>
      <c r="C35" s="3" t="s">
        <v>83</v>
      </c>
      <c r="D35" s="3" t="s">
        <v>1</v>
      </c>
      <c r="E35" s="3" t="s">
        <v>84</v>
      </c>
    </row>
    <row r="36" spans="2:5" x14ac:dyDescent="0.25">
      <c r="B36" s="2" t="s">
        <v>85</v>
      </c>
      <c r="C36" s="6">
        <v>-200000000000</v>
      </c>
      <c r="E36" s="1" t="s">
        <v>86</v>
      </c>
    </row>
    <row r="37" spans="2:5" x14ac:dyDescent="0.25">
      <c r="B37" s="2" t="s">
        <v>87</v>
      </c>
      <c r="C37" s="6">
        <v>-215000000000</v>
      </c>
      <c r="E37" s="1" t="s">
        <v>88</v>
      </c>
    </row>
    <row r="38" spans="2:5" x14ac:dyDescent="0.25">
      <c r="B38" s="2" t="s">
        <v>89</v>
      </c>
      <c r="C38" s="6">
        <v>-76428219366</v>
      </c>
      <c r="E38" s="1" t="s">
        <v>90</v>
      </c>
    </row>
    <row r="39" spans="2:5" x14ac:dyDescent="0.25">
      <c r="B39" s="2" t="s">
        <v>91</v>
      </c>
      <c r="C39" s="6">
        <v>244819898901.24829</v>
      </c>
      <c r="E39" s="2" t="s">
        <v>92</v>
      </c>
    </row>
    <row r="40" spans="2:5" ht="30" x14ac:dyDescent="0.25">
      <c r="B40" s="2" t="s">
        <v>93</v>
      </c>
      <c r="C40" s="6">
        <v>250645519646.02454</v>
      </c>
      <c r="E40" s="2" t="s">
        <v>59</v>
      </c>
    </row>
    <row r="41" spans="2:5" x14ac:dyDescent="0.25">
      <c r="B41" s="2" t="s">
        <v>94</v>
      </c>
      <c r="C41" s="6">
        <v>0</v>
      </c>
      <c r="E41" s="2" t="s">
        <v>1</v>
      </c>
    </row>
    <row r="42" spans="2:5" x14ac:dyDescent="0.25">
      <c r="B42" s="2" t="s">
        <v>95</v>
      </c>
      <c r="C42" s="6">
        <v>0</v>
      </c>
      <c r="E42" s="2" t="s">
        <v>1</v>
      </c>
    </row>
    <row r="43" spans="2:5" x14ac:dyDescent="0.25">
      <c r="B43" s="2" t="s">
        <v>96</v>
      </c>
      <c r="C43" s="6">
        <v>0</v>
      </c>
      <c r="E43" s="2" t="s">
        <v>1</v>
      </c>
    </row>
    <row r="44" spans="2:5" x14ac:dyDescent="0.25">
      <c r="B44" s="2" t="s">
        <v>97</v>
      </c>
      <c r="C44" s="6">
        <v>0</v>
      </c>
      <c r="E44" s="2" t="s">
        <v>1</v>
      </c>
    </row>
    <row r="45" spans="2:5" x14ac:dyDescent="0.25">
      <c r="B45" s="2" t="s">
        <v>98</v>
      </c>
      <c r="C45" s="6">
        <v>0</v>
      </c>
      <c r="E45" s="2" t="s">
        <v>1</v>
      </c>
    </row>
    <row r="46" spans="2:5" x14ac:dyDescent="0.25">
      <c r="B46" s="2" t="s">
        <v>99</v>
      </c>
      <c r="C46" s="6">
        <v>0</v>
      </c>
      <c r="E46" s="2" t="s">
        <v>1</v>
      </c>
    </row>
    <row r="47" spans="2:5" x14ac:dyDescent="0.25">
      <c r="B47" s="2" t="s">
        <v>100</v>
      </c>
      <c r="C47" s="6">
        <v>0</v>
      </c>
      <c r="E47" s="2" t="s">
        <v>1</v>
      </c>
    </row>
    <row r="49" spans="2:5" x14ac:dyDescent="0.25">
      <c r="B49" s="4" t="s">
        <v>101</v>
      </c>
      <c r="C49" s="4" t="s">
        <v>1</v>
      </c>
      <c r="D49" s="4" t="s">
        <v>1</v>
      </c>
      <c r="E49" s="4" t="s">
        <v>1</v>
      </c>
    </row>
    <row r="50" spans="2:5" x14ac:dyDescent="0.25">
      <c r="B50" s="3" t="s">
        <v>102</v>
      </c>
      <c r="C50" s="3" t="s">
        <v>103</v>
      </c>
      <c r="E50" s="3" t="s">
        <v>104</v>
      </c>
    </row>
    <row r="51" spans="2:5" x14ac:dyDescent="0.25">
      <c r="B51" s="2" t="s">
        <v>105</v>
      </c>
      <c r="C51" s="2" t="s">
        <v>106</v>
      </c>
      <c r="E51" s="2" t="s">
        <v>107</v>
      </c>
    </row>
    <row r="52" spans="2:5" x14ac:dyDescent="0.25">
      <c r="B52" s="2" t="s">
        <v>108</v>
      </c>
      <c r="C52" s="2" t="s">
        <v>106</v>
      </c>
      <c r="E52" s="2" t="s">
        <v>107</v>
      </c>
    </row>
    <row r="53" spans="2:5" x14ac:dyDescent="0.25">
      <c r="B53" s="2" t="s">
        <v>109</v>
      </c>
      <c r="C53" s="2" t="s">
        <v>106</v>
      </c>
      <c r="E53" s="2" t="s">
        <v>110</v>
      </c>
    </row>
    <row r="54" spans="2:5" x14ac:dyDescent="0.25">
      <c r="B54" s="2" t="s">
        <v>111</v>
      </c>
      <c r="C54" s="2" t="s">
        <v>106</v>
      </c>
      <c r="E54" s="2" t="s">
        <v>112</v>
      </c>
    </row>
    <row r="55" spans="2:5" x14ac:dyDescent="0.25">
      <c r="B55" s="2" t="s">
        <v>113</v>
      </c>
      <c r="C55" s="2" t="s">
        <v>106</v>
      </c>
      <c r="E55" s="2" t="s">
        <v>114</v>
      </c>
    </row>
    <row r="56" spans="2:5" x14ac:dyDescent="0.25">
      <c r="B56" s="2" t="s">
        <v>115</v>
      </c>
      <c r="C56" s="2" t="s">
        <v>106</v>
      </c>
      <c r="E56" s="2" t="s">
        <v>116</v>
      </c>
    </row>
    <row r="57" spans="2:5" x14ac:dyDescent="0.25">
      <c r="B57" s="2" t="s">
        <v>117</v>
      </c>
    </row>
    <row r="60" spans="2:5" ht="51" x14ac:dyDescent="0.25">
      <c r="B60" s="11" t="s">
        <v>118</v>
      </c>
    </row>
  </sheetData>
  <mergeCells count="2">
    <mergeCell ref="B1:E1"/>
    <mergeCell ref="C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G12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" customWidth="1"/>
    <col min="2" max="2" width="40" customWidth="1"/>
    <col min="3" max="6" width="14" customWidth="1"/>
    <col min="7" max="7" width="12" customWidth="1"/>
  </cols>
  <sheetData>
    <row r="1" spans="1:7" ht="27.95" customHeight="1" x14ac:dyDescent="0.25">
      <c r="A1" s="22" t="s">
        <v>119</v>
      </c>
      <c r="B1" s="21"/>
      <c r="C1" s="21"/>
      <c r="D1" s="21"/>
      <c r="E1" s="21"/>
      <c r="F1" s="21"/>
      <c r="G1" s="21"/>
    </row>
    <row r="3" spans="1:7" ht="18" customHeight="1" x14ac:dyDescent="0.25">
      <c r="B3" s="19" t="s">
        <v>120</v>
      </c>
      <c r="C3" s="21"/>
      <c r="D3" s="21"/>
      <c r="E3" s="21"/>
      <c r="F3" s="21"/>
    </row>
    <row r="4" spans="1:7" x14ac:dyDescent="0.25">
      <c r="B4" s="1" t="s">
        <v>121</v>
      </c>
      <c r="C4" s="9">
        <v>12</v>
      </c>
      <c r="D4" s="10" t="s">
        <v>122</v>
      </c>
    </row>
    <row r="5" spans="1:7" x14ac:dyDescent="0.25">
      <c r="B5" s="1" t="s">
        <v>123</v>
      </c>
      <c r="C5" s="9">
        <v>12</v>
      </c>
      <c r="D5" s="10" t="s">
        <v>122</v>
      </c>
    </row>
    <row r="6" spans="1:7" x14ac:dyDescent="0.25">
      <c r="B6" s="1" t="s">
        <v>124</v>
      </c>
      <c r="C6" s="9">
        <v>10</v>
      </c>
      <c r="D6" s="10" t="s">
        <v>125</v>
      </c>
    </row>
    <row r="7" spans="1:7" x14ac:dyDescent="0.25">
      <c r="B7" s="1" t="s">
        <v>74</v>
      </c>
      <c r="C7" s="9">
        <v>20</v>
      </c>
      <c r="D7" s="10" t="s">
        <v>125</v>
      </c>
    </row>
    <row r="8" spans="1:7" x14ac:dyDescent="0.25">
      <c r="B8" s="1" t="s">
        <v>126</v>
      </c>
      <c r="C8" s="9">
        <v>1</v>
      </c>
      <c r="D8" s="10" t="s">
        <v>125</v>
      </c>
    </row>
    <row r="9" spans="1:7" x14ac:dyDescent="0.25">
      <c r="B9" s="1" t="s">
        <v>127</v>
      </c>
      <c r="C9" s="9">
        <v>5</v>
      </c>
      <c r="D9" s="10" t="s">
        <v>122</v>
      </c>
    </row>
    <row r="10" spans="1:7" x14ac:dyDescent="0.25">
      <c r="B10" s="1" t="s">
        <v>128</v>
      </c>
      <c r="C10" s="9">
        <v>3545</v>
      </c>
      <c r="D10" s="10" t="s">
        <v>129</v>
      </c>
    </row>
    <row r="11" spans="1:7" x14ac:dyDescent="0.25">
      <c r="B11" s="1" t="s">
        <v>130</v>
      </c>
      <c r="C11" s="9">
        <v>1500</v>
      </c>
      <c r="D11" s="10" t="s">
        <v>129</v>
      </c>
    </row>
    <row r="12" spans="1:7" x14ac:dyDescent="0.25">
      <c r="B12" s="1" t="s">
        <v>131</v>
      </c>
      <c r="C12" s="9">
        <v>400</v>
      </c>
      <c r="D12" s="10" t="s">
        <v>132</v>
      </c>
    </row>
    <row r="13" spans="1:7" x14ac:dyDescent="0.25">
      <c r="B13" s="1" t="s">
        <v>133</v>
      </c>
      <c r="C13" s="9">
        <v>0</v>
      </c>
      <c r="D13" s="10" t="s">
        <v>132</v>
      </c>
    </row>
    <row r="14" spans="1:7" x14ac:dyDescent="0.25">
      <c r="B14" s="1" t="s">
        <v>134</v>
      </c>
      <c r="C14" s="9">
        <v>289.07</v>
      </c>
      <c r="D14" s="10" t="s">
        <v>132</v>
      </c>
    </row>
    <row r="15" spans="1:7" x14ac:dyDescent="0.25">
      <c r="B15" s="1" t="s">
        <v>135</v>
      </c>
      <c r="C15" s="9">
        <v>0</v>
      </c>
      <c r="D15" s="10" t="s">
        <v>132</v>
      </c>
    </row>
    <row r="16" spans="1:7" ht="30" x14ac:dyDescent="0.25">
      <c r="B16" s="1" t="s">
        <v>136</v>
      </c>
      <c r="C16" s="9">
        <v>0</v>
      </c>
      <c r="D16" s="10" t="s">
        <v>125</v>
      </c>
    </row>
    <row r="17" spans="2:4" x14ac:dyDescent="0.25">
      <c r="B17" s="1" t="s">
        <v>137</v>
      </c>
      <c r="C17" s="9">
        <v>2</v>
      </c>
      <c r="D17" s="10" t="s">
        <v>138</v>
      </c>
    </row>
    <row r="18" spans="2:4" x14ac:dyDescent="0.25">
      <c r="B18" s="1" t="s">
        <v>139</v>
      </c>
      <c r="C18" s="9">
        <v>0</v>
      </c>
      <c r="D18" s="10" t="s">
        <v>125</v>
      </c>
    </row>
    <row r="19" spans="2:4" x14ac:dyDescent="0.25">
      <c r="B19" s="1" t="s">
        <v>140</v>
      </c>
      <c r="C19" s="9">
        <v>6</v>
      </c>
      <c r="D19" s="10" t="s">
        <v>125</v>
      </c>
    </row>
    <row r="20" spans="2:4" x14ac:dyDescent="0.25">
      <c r="B20" s="1" t="s">
        <v>141</v>
      </c>
      <c r="C20" s="9">
        <v>10</v>
      </c>
      <c r="D20" s="10" t="s">
        <v>125</v>
      </c>
    </row>
    <row r="21" spans="2:4" x14ac:dyDescent="0.25">
      <c r="B21" s="1" t="s">
        <v>142</v>
      </c>
      <c r="C21" s="9">
        <v>2</v>
      </c>
      <c r="D21" s="10" t="s">
        <v>125</v>
      </c>
    </row>
    <row r="22" spans="2:4" x14ac:dyDescent="0.25">
      <c r="B22" s="1" t="s">
        <v>143</v>
      </c>
      <c r="C22" s="9">
        <v>15</v>
      </c>
      <c r="D22" s="10" t="s">
        <v>125</v>
      </c>
    </row>
    <row r="23" spans="2:4" x14ac:dyDescent="0.25">
      <c r="B23" s="1" t="s">
        <v>144</v>
      </c>
      <c r="C23" s="9">
        <v>88</v>
      </c>
      <c r="D23" s="10" t="s">
        <v>138</v>
      </c>
    </row>
    <row r="24" spans="2:4" x14ac:dyDescent="0.25">
      <c r="B24" s="1" t="s">
        <v>145</v>
      </c>
      <c r="C24" s="9">
        <v>130</v>
      </c>
      <c r="D24" s="10" t="s">
        <v>125</v>
      </c>
    </row>
    <row r="25" spans="2:4" x14ac:dyDescent="0.25">
      <c r="B25" s="1" t="s">
        <v>146</v>
      </c>
      <c r="C25" s="9">
        <v>400</v>
      </c>
      <c r="D25" s="10" t="s">
        <v>132</v>
      </c>
    </row>
    <row r="26" spans="2:4" x14ac:dyDescent="0.25">
      <c r="B26" s="1" t="s">
        <v>147</v>
      </c>
      <c r="C26" s="9">
        <v>20</v>
      </c>
      <c r="D26" s="10" t="s">
        <v>125</v>
      </c>
    </row>
    <row r="27" spans="2:4" x14ac:dyDescent="0.25">
      <c r="B27" s="1" t="s">
        <v>148</v>
      </c>
      <c r="C27" s="9">
        <v>30</v>
      </c>
      <c r="D27" s="10" t="s">
        <v>125</v>
      </c>
    </row>
    <row r="28" spans="2:4" x14ac:dyDescent="0.25">
      <c r="B28" s="1" t="s">
        <v>149</v>
      </c>
      <c r="C28" s="9">
        <v>40</v>
      </c>
      <c r="D28" s="10" t="s">
        <v>125</v>
      </c>
    </row>
    <row r="29" spans="2:4" x14ac:dyDescent="0.25">
      <c r="B29" s="1" t="s">
        <v>150</v>
      </c>
      <c r="C29" s="9">
        <v>10</v>
      </c>
      <c r="D29" s="10" t="s">
        <v>125</v>
      </c>
    </row>
    <row r="30" spans="2:4" x14ac:dyDescent="0.25">
      <c r="B30" s="1" t="s">
        <v>151</v>
      </c>
      <c r="C30" s="9">
        <v>57.695</v>
      </c>
      <c r="D30" s="10" t="s">
        <v>129</v>
      </c>
    </row>
    <row r="31" spans="2:4" x14ac:dyDescent="0.25">
      <c r="B31" s="1" t="s">
        <v>152</v>
      </c>
      <c r="C31" s="9">
        <v>28</v>
      </c>
      <c r="D31" s="10" t="s">
        <v>153</v>
      </c>
    </row>
    <row r="36" spans="2:7" x14ac:dyDescent="0.25">
      <c r="B36" s="1" t="s">
        <v>154</v>
      </c>
      <c r="C36" s="9">
        <v>1</v>
      </c>
      <c r="D36" s="10" t="s">
        <v>155</v>
      </c>
    </row>
    <row r="37" spans="2:7" x14ac:dyDescent="0.25">
      <c r="B37" s="1" t="s">
        <v>156</v>
      </c>
      <c r="C37" s="9">
        <v>30</v>
      </c>
      <c r="D37" s="13" t="s">
        <v>125</v>
      </c>
    </row>
    <row r="38" spans="2:7" x14ac:dyDescent="0.25">
      <c r="B38" s="1" t="s">
        <v>157</v>
      </c>
      <c r="C38" s="9">
        <v>0</v>
      </c>
      <c r="D38" s="13" t="s">
        <v>122</v>
      </c>
    </row>
    <row r="39" spans="2:7" ht="18" customHeight="1" x14ac:dyDescent="0.25">
      <c r="B39" s="19" t="s">
        <v>158</v>
      </c>
      <c r="C39" s="21"/>
      <c r="D39" s="21"/>
      <c r="E39" s="21"/>
      <c r="F39" s="21"/>
    </row>
    <row r="40" spans="2:7" x14ac:dyDescent="0.25">
      <c r="B40" s="1" t="s">
        <v>159</v>
      </c>
      <c r="C40" s="13" t="s">
        <v>160</v>
      </c>
      <c r="D40" s="13" t="s">
        <v>1</v>
      </c>
      <c r="E40" s="13" t="s">
        <v>1</v>
      </c>
      <c r="F40" s="13" t="s">
        <v>1</v>
      </c>
      <c r="G40" s="10" t="s">
        <v>1</v>
      </c>
    </row>
    <row r="41" spans="2:7" x14ac:dyDescent="0.25">
      <c r="B41" s="1" t="s">
        <v>161</v>
      </c>
      <c r="C41" s="9">
        <v>25</v>
      </c>
      <c r="D41" s="9">
        <v>0</v>
      </c>
      <c r="E41" s="9">
        <v>0</v>
      </c>
      <c r="F41" s="9">
        <v>0</v>
      </c>
      <c r="G41" s="10" t="s">
        <v>162</v>
      </c>
    </row>
    <row r="42" spans="2:7" x14ac:dyDescent="0.25">
      <c r="B42" s="1" t="s">
        <v>163</v>
      </c>
      <c r="C42" s="9">
        <v>0</v>
      </c>
      <c r="D42" s="9">
        <v>0</v>
      </c>
      <c r="E42" s="9">
        <v>0</v>
      </c>
      <c r="F42" s="9">
        <v>0</v>
      </c>
      <c r="G42" s="10" t="s">
        <v>162</v>
      </c>
    </row>
    <row r="43" spans="2:7" x14ac:dyDescent="0.25">
      <c r="B43" s="1" t="s">
        <v>164</v>
      </c>
      <c r="C43" s="9">
        <v>27696.25</v>
      </c>
      <c r="D43" s="9">
        <v>0</v>
      </c>
      <c r="E43" s="9">
        <v>0</v>
      </c>
      <c r="F43" s="9">
        <v>0</v>
      </c>
      <c r="G43" s="10" t="s">
        <v>129</v>
      </c>
    </row>
    <row r="44" spans="2:7" x14ac:dyDescent="0.25">
      <c r="B44" s="1" t="s">
        <v>165</v>
      </c>
      <c r="C44" s="9">
        <v>0</v>
      </c>
      <c r="D44" s="9">
        <v>0</v>
      </c>
      <c r="E44" s="9">
        <v>0</v>
      </c>
      <c r="F44" s="9">
        <v>0</v>
      </c>
      <c r="G44" s="10" t="s">
        <v>129</v>
      </c>
    </row>
    <row r="45" spans="2:7" x14ac:dyDescent="0.25">
      <c r="B45" s="1" t="s">
        <v>166</v>
      </c>
      <c r="C45" s="9">
        <v>2011</v>
      </c>
      <c r="D45" s="9">
        <v>0</v>
      </c>
      <c r="E45" s="9">
        <v>0</v>
      </c>
      <c r="F45" s="9">
        <v>0</v>
      </c>
      <c r="G45" s="10" t="s">
        <v>129</v>
      </c>
    </row>
    <row r="46" spans="2:7" x14ac:dyDescent="0.25">
      <c r="B46" s="1" t="s">
        <v>167</v>
      </c>
      <c r="C46" s="9">
        <v>55</v>
      </c>
      <c r="D46" s="9">
        <v>0</v>
      </c>
      <c r="E46" s="9">
        <v>0</v>
      </c>
      <c r="F46" s="9">
        <v>0</v>
      </c>
      <c r="G46" s="10" t="s">
        <v>125</v>
      </c>
    </row>
    <row r="47" spans="2:7" x14ac:dyDescent="0.25">
      <c r="B47" s="1" t="s">
        <v>168</v>
      </c>
      <c r="C47" s="9">
        <v>1581</v>
      </c>
      <c r="D47" s="9">
        <v>0</v>
      </c>
      <c r="E47" s="9">
        <v>0</v>
      </c>
      <c r="F47" s="9">
        <v>0</v>
      </c>
      <c r="G47" s="10" t="s">
        <v>129</v>
      </c>
    </row>
    <row r="48" spans="2:7" x14ac:dyDescent="0.25">
      <c r="B48" s="1" t="s">
        <v>169</v>
      </c>
      <c r="C48" s="9">
        <v>13.5</v>
      </c>
      <c r="D48" s="9">
        <v>0</v>
      </c>
      <c r="E48" s="9">
        <v>0</v>
      </c>
      <c r="F48" s="9">
        <v>0</v>
      </c>
      <c r="G48" s="10" t="s">
        <v>138</v>
      </c>
    </row>
    <row r="49" spans="2:7" x14ac:dyDescent="0.25">
      <c r="B49" s="1" t="s">
        <v>170</v>
      </c>
      <c r="C49" s="9">
        <v>1</v>
      </c>
      <c r="D49" s="9">
        <v>0</v>
      </c>
      <c r="E49" s="9">
        <v>0</v>
      </c>
      <c r="F49" s="9">
        <v>0</v>
      </c>
      <c r="G49" s="10" t="s">
        <v>1</v>
      </c>
    </row>
    <row r="50" spans="2:7" x14ac:dyDescent="0.25">
      <c r="B50" s="1" t="s">
        <v>171</v>
      </c>
      <c r="C50" s="9">
        <v>1</v>
      </c>
      <c r="D50" s="9">
        <v>0</v>
      </c>
      <c r="E50" s="9">
        <v>0</v>
      </c>
      <c r="F50" s="9">
        <v>0</v>
      </c>
      <c r="G50" s="10" t="s">
        <v>1</v>
      </c>
    </row>
    <row r="51" spans="2:7" ht="18" customHeight="1" x14ac:dyDescent="0.25">
      <c r="B51" s="19" t="s">
        <v>172</v>
      </c>
      <c r="C51" s="21"/>
      <c r="D51" s="21"/>
      <c r="E51" s="21"/>
      <c r="F51" s="21"/>
    </row>
    <row r="52" spans="2:7" x14ac:dyDescent="0.25">
      <c r="B52" s="1" t="s">
        <v>173</v>
      </c>
      <c r="C52" s="9">
        <v>3.5</v>
      </c>
      <c r="D52" s="10" t="s">
        <v>174</v>
      </c>
    </row>
    <row r="54" spans="2:7" ht="30" x14ac:dyDescent="0.25">
      <c r="B54" s="1" t="s">
        <v>175</v>
      </c>
      <c r="C54" s="9">
        <v>2</v>
      </c>
      <c r="D54" s="10" t="s">
        <v>1</v>
      </c>
    </row>
    <row r="55" spans="2:7" x14ac:dyDescent="0.25">
      <c r="B55" s="1" t="s">
        <v>176</v>
      </c>
      <c r="C55" s="9">
        <v>1</v>
      </c>
      <c r="D55" s="10" t="s">
        <v>177</v>
      </c>
    </row>
    <row r="56" spans="2:7" x14ac:dyDescent="0.25">
      <c r="B56" s="1" t="s">
        <v>178</v>
      </c>
      <c r="C56" s="9">
        <v>1</v>
      </c>
      <c r="D56" s="10" t="s">
        <v>177</v>
      </c>
    </row>
    <row r="57" spans="2:7" ht="18" customHeight="1" x14ac:dyDescent="0.25">
      <c r="B57" s="19" t="s">
        <v>179</v>
      </c>
      <c r="C57" s="21"/>
      <c r="D57" s="21"/>
      <c r="E57" s="21"/>
      <c r="F57" s="21"/>
    </row>
    <row r="58" spans="2:7" x14ac:dyDescent="0.25">
      <c r="B58" s="1" t="s">
        <v>180</v>
      </c>
      <c r="C58" s="29" t="s">
        <v>181</v>
      </c>
      <c r="D58" s="21"/>
      <c r="E58" s="21"/>
      <c r="F58" s="21"/>
    </row>
    <row r="59" spans="2:7" x14ac:dyDescent="0.25">
      <c r="B59" s="1" t="s">
        <v>182</v>
      </c>
      <c r="C59" s="29" t="s">
        <v>4</v>
      </c>
      <c r="D59" s="21"/>
      <c r="E59" s="21"/>
      <c r="F59" s="21"/>
    </row>
    <row r="60" spans="2:7" x14ac:dyDescent="0.25">
      <c r="B60" s="1" t="s">
        <v>6</v>
      </c>
      <c r="C60" s="29" t="s">
        <v>1</v>
      </c>
      <c r="D60" s="21"/>
      <c r="E60" s="21"/>
      <c r="F60" s="21"/>
    </row>
    <row r="61" spans="2:7" x14ac:dyDescent="0.25">
      <c r="B61" s="1" t="s">
        <v>183</v>
      </c>
      <c r="C61" s="29" t="s">
        <v>1</v>
      </c>
      <c r="D61" s="21"/>
      <c r="E61" s="21"/>
      <c r="F61" s="21"/>
    </row>
    <row r="62" spans="2:7" x14ac:dyDescent="0.25">
      <c r="B62" s="1" t="s">
        <v>184</v>
      </c>
      <c r="C62" s="29" t="s">
        <v>185</v>
      </c>
      <c r="D62" s="21"/>
      <c r="E62" s="21"/>
      <c r="F62" s="21"/>
    </row>
    <row r="63" spans="2:7" x14ac:dyDescent="0.25">
      <c r="B63" s="1" t="s">
        <v>186</v>
      </c>
      <c r="C63" s="29" t="s">
        <v>1</v>
      </c>
      <c r="D63" s="21"/>
      <c r="E63" s="21"/>
      <c r="F63" s="21"/>
    </row>
    <row r="64" spans="2:7" ht="30" x14ac:dyDescent="0.25">
      <c r="B64" s="1" t="s">
        <v>187</v>
      </c>
      <c r="C64" s="9">
        <v>1</v>
      </c>
      <c r="D64" s="10" t="s">
        <v>1</v>
      </c>
    </row>
    <row r="65" spans="2:6" x14ac:dyDescent="0.25">
      <c r="B65" s="1" t="s">
        <v>188</v>
      </c>
      <c r="C65" s="9">
        <v>70</v>
      </c>
      <c r="D65" s="10" t="s">
        <v>125</v>
      </c>
    </row>
    <row r="66" spans="2:6" x14ac:dyDescent="0.25">
      <c r="B66" s="1" t="s">
        <v>189</v>
      </c>
      <c r="C66" s="9">
        <v>70</v>
      </c>
      <c r="D66" s="10" t="s">
        <v>125</v>
      </c>
    </row>
    <row r="67" spans="2:6" x14ac:dyDescent="0.25">
      <c r="B67" s="1" t="s">
        <v>190</v>
      </c>
      <c r="C67" s="9">
        <v>70</v>
      </c>
      <c r="D67" s="10" t="s">
        <v>125</v>
      </c>
    </row>
    <row r="68" spans="2:6" x14ac:dyDescent="0.25">
      <c r="B68" s="1" t="s">
        <v>191</v>
      </c>
      <c r="C68" s="9">
        <v>70</v>
      </c>
      <c r="D68" s="10" t="s">
        <v>125</v>
      </c>
    </row>
    <row r="69" spans="2:6" x14ac:dyDescent="0.25">
      <c r="B69" s="1" t="s">
        <v>192</v>
      </c>
      <c r="C69" s="9">
        <v>70</v>
      </c>
      <c r="D69" s="10" t="s">
        <v>125</v>
      </c>
    </row>
    <row r="71" spans="2:6" x14ac:dyDescent="0.25">
      <c r="B71" s="1" t="s">
        <v>193</v>
      </c>
      <c r="C71" s="13" t="s">
        <v>194</v>
      </c>
    </row>
    <row r="72" spans="2:6" x14ac:dyDescent="0.25">
      <c r="B72" s="1" t="s">
        <v>195</v>
      </c>
      <c r="C72" s="13" t="s">
        <v>196</v>
      </c>
    </row>
    <row r="73" spans="2:6" ht="18" customHeight="1" x14ac:dyDescent="0.25">
      <c r="B73" s="28" t="s">
        <v>197</v>
      </c>
      <c r="C73" s="21"/>
      <c r="D73" s="21"/>
      <c r="E73" s="21"/>
      <c r="F73" s="21"/>
    </row>
    <row r="74" spans="2:6" x14ac:dyDescent="0.25">
      <c r="B74" s="1" t="s">
        <v>198</v>
      </c>
      <c r="C74" s="9">
        <v>0</v>
      </c>
    </row>
    <row r="75" spans="2:6" x14ac:dyDescent="0.25">
      <c r="B75" s="1" t="s">
        <v>199</v>
      </c>
      <c r="C75" s="9">
        <v>2030</v>
      </c>
      <c r="D75" s="10" t="s">
        <v>200</v>
      </c>
    </row>
    <row r="76" spans="2:6" x14ac:dyDescent="0.25">
      <c r="B76" s="1" t="s">
        <v>201</v>
      </c>
      <c r="C76" s="9">
        <v>45</v>
      </c>
      <c r="D76" s="10" t="s">
        <v>200</v>
      </c>
    </row>
    <row r="77" spans="2:6" x14ac:dyDescent="0.25">
      <c r="B77" s="1" t="s">
        <v>202</v>
      </c>
      <c r="C77" s="9">
        <v>12</v>
      </c>
      <c r="D77" s="10" t="s">
        <v>122</v>
      </c>
    </row>
    <row r="78" spans="2:6" x14ac:dyDescent="0.25">
      <c r="B78" s="1" t="s">
        <v>203</v>
      </c>
      <c r="C78" s="9">
        <v>20</v>
      </c>
      <c r="D78" s="10" t="s">
        <v>125</v>
      </c>
    </row>
    <row r="79" spans="2:6" x14ac:dyDescent="0.25">
      <c r="B79" s="1" t="s">
        <v>204</v>
      </c>
      <c r="C79" s="9">
        <v>10</v>
      </c>
      <c r="D79" s="10" t="s">
        <v>125</v>
      </c>
    </row>
    <row r="80" spans="2:6" x14ac:dyDescent="0.25">
      <c r="B80" s="1" t="s">
        <v>205</v>
      </c>
      <c r="C80" s="9">
        <v>2</v>
      </c>
      <c r="D80" s="10" t="s">
        <v>200</v>
      </c>
    </row>
    <row r="81" spans="2:4" x14ac:dyDescent="0.25">
      <c r="B81" s="1" t="s">
        <v>206</v>
      </c>
      <c r="C81" s="9">
        <v>0</v>
      </c>
      <c r="D81" s="10" t="s">
        <v>207</v>
      </c>
    </row>
    <row r="82" spans="2:4" x14ac:dyDescent="0.25">
      <c r="B82" s="1" t="s">
        <v>208</v>
      </c>
      <c r="C82" s="9">
        <v>0</v>
      </c>
      <c r="D82" s="10" t="s">
        <v>209</v>
      </c>
    </row>
    <row r="83" spans="2:4" x14ac:dyDescent="0.25">
      <c r="B83" s="1" t="s">
        <v>210</v>
      </c>
      <c r="C83" s="9">
        <v>0</v>
      </c>
      <c r="D83" s="10" t="s">
        <v>211</v>
      </c>
    </row>
    <row r="84" spans="2:4" x14ac:dyDescent="0.25">
      <c r="B84" s="1" t="s">
        <v>212</v>
      </c>
      <c r="C84" s="9">
        <v>0</v>
      </c>
      <c r="D84" s="10" t="s">
        <v>213</v>
      </c>
    </row>
    <row r="85" spans="2:4" x14ac:dyDescent="0.25">
      <c r="B85" s="1" t="s">
        <v>214</v>
      </c>
      <c r="C85" s="9">
        <v>0</v>
      </c>
      <c r="D85" s="10" t="s">
        <v>215</v>
      </c>
    </row>
    <row r="86" spans="2:4" x14ac:dyDescent="0.25">
      <c r="B86" s="1" t="s">
        <v>216</v>
      </c>
      <c r="C86" s="9">
        <v>0</v>
      </c>
      <c r="D86" s="10" t="s">
        <v>217</v>
      </c>
    </row>
    <row r="87" spans="2:4" x14ac:dyDescent="0.25">
      <c r="B87" s="1" t="s">
        <v>218</v>
      </c>
      <c r="C87" s="9">
        <v>30</v>
      </c>
      <c r="D87" s="10" t="s">
        <v>125</v>
      </c>
    </row>
    <row r="88" spans="2:4" x14ac:dyDescent="0.25">
      <c r="B88" s="1" t="s">
        <v>219</v>
      </c>
      <c r="C88" s="9">
        <v>50</v>
      </c>
      <c r="D88" s="10" t="s">
        <v>125</v>
      </c>
    </row>
    <row r="89" spans="2:4" x14ac:dyDescent="0.25">
      <c r="B89" s="1" t="s">
        <v>220</v>
      </c>
      <c r="C89" s="9">
        <v>3</v>
      </c>
      <c r="D89" s="10" t="s">
        <v>125</v>
      </c>
    </row>
    <row r="90" spans="2:4" x14ac:dyDescent="0.25">
      <c r="B90" s="1" t="s">
        <v>221</v>
      </c>
      <c r="C90" s="9">
        <v>1</v>
      </c>
      <c r="D90" s="10" t="s">
        <v>125</v>
      </c>
    </row>
    <row r="91" spans="2:4" x14ac:dyDescent="0.25">
      <c r="B91" s="1" t="s">
        <v>222</v>
      </c>
      <c r="C91" s="9">
        <v>25</v>
      </c>
      <c r="D91" s="10" t="s">
        <v>200</v>
      </c>
    </row>
    <row r="92" spans="2:4" x14ac:dyDescent="0.25">
      <c r="B92" s="1" t="s">
        <v>223</v>
      </c>
      <c r="C92" s="9">
        <v>0</v>
      </c>
    </row>
    <row r="93" spans="2:4" x14ac:dyDescent="0.25">
      <c r="B93" s="1" t="s">
        <v>224</v>
      </c>
      <c r="C93" s="9">
        <v>50</v>
      </c>
      <c r="D93" s="10" t="s">
        <v>200</v>
      </c>
    </row>
    <row r="94" spans="2:4" x14ac:dyDescent="0.25">
      <c r="B94" s="1" t="s">
        <v>225</v>
      </c>
      <c r="C94" s="9">
        <v>11</v>
      </c>
      <c r="D94" s="10" t="s">
        <v>125</v>
      </c>
    </row>
    <row r="95" spans="2:4" x14ac:dyDescent="0.25">
      <c r="B95" s="1" t="s">
        <v>226</v>
      </c>
      <c r="C95" s="9">
        <v>2</v>
      </c>
      <c r="D95" s="10" t="s">
        <v>125</v>
      </c>
    </row>
    <row r="96" spans="2:4" ht="30" x14ac:dyDescent="0.25">
      <c r="B96" s="1" t="s">
        <v>227</v>
      </c>
      <c r="C96" s="9">
        <v>1</v>
      </c>
    </row>
    <row r="97" spans="2:4" x14ac:dyDescent="0.25">
      <c r="B97" s="1" t="s">
        <v>228</v>
      </c>
      <c r="C97" s="9">
        <v>0</v>
      </c>
      <c r="D97" s="10" t="s">
        <v>125</v>
      </c>
    </row>
    <row r="98" spans="2:4" x14ac:dyDescent="0.25">
      <c r="B98" s="1" t="s">
        <v>229</v>
      </c>
      <c r="C98" s="9">
        <v>40</v>
      </c>
      <c r="D98" s="10" t="s">
        <v>125</v>
      </c>
    </row>
    <row r="99" spans="2:4" x14ac:dyDescent="0.25">
      <c r="B99" s="1" t="s">
        <v>230</v>
      </c>
      <c r="C99" s="9">
        <v>60</v>
      </c>
      <c r="D99" s="10" t="s">
        <v>125</v>
      </c>
    </row>
    <row r="100" spans="2:4" x14ac:dyDescent="0.25">
      <c r="B100" s="1" t="s">
        <v>231</v>
      </c>
      <c r="C100" s="9">
        <v>80</v>
      </c>
      <c r="D100" s="10" t="s">
        <v>125</v>
      </c>
    </row>
    <row r="101" spans="2:4" x14ac:dyDescent="0.25">
      <c r="B101" s="1" t="s">
        <v>232</v>
      </c>
      <c r="C101" s="9">
        <v>90</v>
      </c>
      <c r="D101" s="10" t="s">
        <v>125</v>
      </c>
    </row>
    <row r="102" spans="2:4" x14ac:dyDescent="0.25">
      <c r="B102" s="1" t="s">
        <v>233</v>
      </c>
      <c r="C102" s="9">
        <v>95</v>
      </c>
      <c r="D102" s="10" t="s">
        <v>125</v>
      </c>
    </row>
    <row r="103" spans="2:4" x14ac:dyDescent="0.25">
      <c r="B103" s="1" t="s">
        <v>234</v>
      </c>
      <c r="C103" s="9">
        <v>95</v>
      </c>
      <c r="D103" s="10" t="s">
        <v>125</v>
      </c>
    </row>
    <row r="104" spans="2:4" x14ac:dyDescent="0.25">
      <c r="B104" s="1" t="s">
        <v>235</v>
      </c>
      <c r="C104" s="9">
        <v>50</v>
      </c>
      <c r="D104" s="10" t="s">
        <v>125</v>
      </c>
    </row>
    <row r="105" spans="2:4" x14ac:dyDescent="0.25">
      <c r="B105" s="1" t="s">
        <v>236</v>
      </c>
      <c r="C105" s="9">
        <v>70</v>
      </c>
      <c r="D105" s="10" t="s">
        <v>125</v>
      </c>
    </row>
    <row r="106" spans="2:4" x14ac:dyDescent="0.25">
      <c r="B106" s="1" t="s">
        <v>237</v>
      </c>
      <c r="C106" s="9">
        <v>85</v>
      </c>
      <c r="D106" s="10" t="s">
        <v>125</v>
      </c>
    </row>
    <row r="107" spans="2:4" x14ac:dyDescent="0.25">
      <c r="B107" s="1" t="s">
        <v>238</v>
      </c>
      <c r="C107" s="9">
        <v>92</v>
      </c>
      <c r="D107" s="10" t="s">
        <v>125</v>
      </c>
    </row>
    <row r="108" spans="2:4" x14ac:dyDescent="0.25">
      <c r="B108" s="1" t="s">
        <v>239</v>
      </c>
      <c r="C108" s="9">
        <v>95</v>
      </c>
      <c r="D108" s="10" t="s">
        <v>125</v>
      </c>
    </row>
    <row r="109" spans="2:4" x14ac:dyDescent="0.25">
      <c r="B109" s="1" t="s">
        <v>240</v>
      </c>
      <c r="C109" s="9">
        <v>95</v>
      </c>
      <c r="D109" s="10" t="s">
        <v>125</v>
      </c>
    </row>
    <row r="110" spans="2:4" x14ac:dyDescent="0.25">
      <c r="B110" s="1" t="s">
        <v>241</v>
      </c>
      <c r="C110" s="9">
        <v>45</v>
      </c>
      <c r="D110" s="10" t="s">
        <v>125</v>
      </c>
    </row>
    <row r="111" spans="2:4" x14ac:dyDescent="0.25">
      <c r="B111" s="1" t="s">
        <v>242</v>
      </c>
      <c r="C111" s="9">
        <v>55</v>
      </c>
      <c r="D111" s="10" t="s">
        <v>125</v>
      </c>
    </row>
    <row r="112" spans="2:4" x14ac:dyDescent="0.25">
      <c r="B112" s="1" t="s">
        <v>243</v>
      </c>
      <c r="C112" s="9">
        <v>62</v>
      </c>
      <c r="D112" s="10" t="s">
        <v>125</v>
      </c>
    </row>
    <row r="113" spans="2:7" x14ac:dyDescent="0.25">
      <c r="B113" s="1" t="s">
        <v>244</v>
      </c>
      <c r="C113" s="9">
        <v>68</v>
      </c>
      <c r="D113" s="10" t="s">
        <v>125</v>
      </c>
    </row>
    <row r="114" spans="2:7" x14ac:dyDescent="0.25">
      <c r="B114" s="1" t="s">
        <v>245</v>
      </c>
      <c r="C114" s="9">
        <v>70</v>
      </c>
      <c r="D114" s="10" t="s">
        <v>125</v>
      </c>
    </row>
    <row r="115" spans="2:7" x14ac:dyDescent="0.25">
      <c r="B115" s="1" t="s">
        <v>246</v>
      </c>
      <c r="C115" s="9">
        <v>70</v>
      </c>
      <c r="D115" s="10" t="s">
        <v>125</v>
      </c>
    </row>
    <row r="116" spans="2:7" x14ac:dyDescent="0.25">
      <c r="B116" s="1" t="s">
        <v>247</v>
      </c>
      <c r="C116" s="9">
        <v>15116</v>
      </c>
      <c r="D116" s="10">
        <v>0</v>
      </c>
      <c r="E116" s="9">
        <v>0</v>
      </c>
      <c r="F116" s="9">
        <v>0</v>
      </c>
      <c r="G116" s="10" t="s">
        <v>129</v>
      </c>
    </row>
    <row r="117" spans="2:7" x14ac:dyDescent="0.25">
      <c r="B117" s="1" t="s">
        <v>248</v>
      </c>
      <c r="C117" s="9">
        <v>60</v>
      </c>
      <c r="D117" s="10" t="s">
        <v>132</v>
      </c>
    </row>
    <row r="118" spans="2:7" x14ac:dyDescent="0.25">
      <c r="B118" s="1" t="s">
        <v>249</v>
      </c>
      <c r="C118" s="9">
        <v>8</v>
      </c>
      <c r="D118" s="10" t="s">
        <v>125</v>
      </c>
    </row>
    <row r="119" spans="2:7" x14ac:dyDescent="0.25">
      <c r="B119" s="1" t="s">
        <v>250</v>
      </c>
      <c r="C119" s="9">
        <v>1.5</v>
      </c>
      <c r="D119" s="10" t="s">
        <v>125</v>
      </c>
    </row>
    <row r="120" spans="2:7" x14ac:dyDescent="0.25">
      <c r="B120" s="1" t="s">
        <v>251</v>
      </c>
      <c r="C120" s="9">
        <v>6</v>
      </c>
      <c r="D120" s="10" t="s">
        <v>125</v>
      </c>
    </row>
    <row r="121" spans="2:7" x14ac:dyDescent="0.25">
      <c r="B121" s="1" t="s">
        <v>252</v>
      </c>
      <c r="C121" s="9">
        <v>1.1000000000000001</v>
      </c>
      <c r="D121" s="10" t="s">
        <v>125</v>
      </c>
    </row>
    <row r="122" spans="2:7" x14ac:dyDescent="0.25">
      <c r="B122" s="1" t="s">
        <v>253</v>
      </c>
      <c r="C122" s="9">
        <v>0.2</v>
      </c>
      <c r="D122" s="10" t="s">
        <v>125</v>
      </c>
    </row>
    <row r="123" spans="2:7" x14ac:dyDescent="0.25">
      <c r="B123" s="1" t="s">
        <v>254</v>
      </c>
      <c r="C123" s="9">
        <v>0</v>
      </c>
      <c r="D123" s="10" t="s">
        <v>125</v>
      </c>
    </row>
    <row r="124" spans="2:7" x14ac:dyDescent="0.25">
      <c r="B124" s="1" t="s">
        <v>255</v>
      </c>
      <c r="C124" s="9">
        <v>0.2</v>
      </c>
      <c r="D124" s="10" t="s">
        <v>125</v>
      </c>
    </row>
    <row r="125" spans="2:7" x14ac:dyDescent="0.25">
      <c r="B125" s="1" t="s">
        <v>256</v>
      </c>
      <c r="C125" s="9">
        <v>24.4</v>
      </c>
      <c r="D125" s="10" t="s">
        <v>125</v>
      </c>
    </row>
  </sheetData>
  <mergeCells count="12">
    <mergeCell ref="A1:G1"/>
    <mergeCell ref="B3:F3"/>
    <mergeCell ref="B39:F39"/>
    <mergeCell ref="B51:F51"/>
    <mergeCell ref="B57:F57"/>
    <mergeCell ref="B73:F73"/>
    <mergeCell ref="C58:F58"/>
    <mergeCell ref="C59:F59"/>
    <mergeCell ref="C60:F60"/>
    <mergeCell ref="C61:F61"/>
    <mergeCell ref="C62:F62"/>
    <mergeCell ref="C63:F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O4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RowHeight="15" x14ac:dyDescent="0.25"/>
  <cols>
    <col min="1" max="1" width="6" customWidth="1"/>
    <col min="2" max="2" width="28" customWidth="1"/>
    <col min="3" max="15" width="9" customWidth="1"/>
  </cols>
  <sheetData>
    <row r="1" spans="1:15" ht="26.1" customHeight="1" x14ac:dyDescent="0.25">
      <c r="A1" s="22" t="s">
        <v>257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x14ac:dyDescent="0.25">
      <c r="B2" s="3" t="s">
        <v>82</v>
      </c>
      <c r="C2" s="3">
        <v>2026</v>
      </c>
      <c r="D2" s="3">
        <v>2027</v>
      </c>
      <c r="E2" s="3">
        <v>2028</v>
      </c>
      <c r="F2" s="3">
        <v>2029</v>
      </c>
      <c r="G2" s="3">
        <v>2030</v>
      </c>
      <c r="H2" s="3">
        <v>2031</v>
      </c>
      <c r="I2" s="3">
        <v>2032</v>
      </c>
      <c r="J2" s="3">
        <v>2033</v>
      </c>
      <c r="K2" s="3">
        <v>2034</v>
      </c>
      <c r="L2" s="3">
        <v>2035</v>
      </c>
      <c r="M2" s="3">
        <v>2036</v>
      </c>
      <c r="N2" s="3">
        <v>2037</v>
      </c>
      <c r="O2" s="3">
        <v>2038</v>
      </c>
    </row>
    <row r="3" spans="1:15" x14ac:dyDescent="0.25">
      <c r="A3" s="4" t="s">
        <v>258</v>
      </c>
      <c r="B3" s="1" t="s">
        <v>259</v>
      </c>
      <c r="C3" s="9">
        <v>50</v>
      </c>
      <c r="D3" s="9">
        <v>50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x14ac:dyDescent="0.25">
      <c r="B4" s="1" t="s">
        <v>260</v>
      </c>
      <c r="C4" s="9">
        <v>0</v>
      </c>
      <c r="D4" s="9">
        <v>0</v>
      </c>
      <c r="E4" s="9">
        <v>100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</row>
    <row r="5" spans="1:15" x14ac:dyDescent="0.25">
      <c r="B5" s="1" t="s">
        <v>134</v>
      </c>
      <c r="C5" s="9">
        <v>0</v>
      </c>
      <c r="D5" s="9">
        <v>0</v>
      </c>
      <c r="E5" s="9">
        <v>100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 x14ac:dyDescent="0.25">
      <c r="B6" s="1" t="s">
        <v>261</v>
      </c>
      <c r="C6" s="9">
        <v>0</v>
      </c>
      <c r="D6" s="9">
        <v>25</v>
      </c>
      <c r="E6" s="9">
        <v>25</v>
      </c>
      <c r="F6" s="9">
        <v>25</v>
      </c>
      <c r="G6" s="9">
        <v>25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</row>
    <row r="7" spans="1:15" x14ac:dyDescent="0.25">
      <c r="B7" s="1" t="s">
        <v>262</v>
      </c>
      <c r="C7" s="9">
        <v>0</v>
      </c>
      <c r="D7" s="9">
        <v>0</v>
      </c>
      <c r="E7" s="9">
        <v>0</v>
      </c>
      <c r="F7" s="9">
        <v>50</v>
      </c>
      <c r="G7" s="9">
        <v>50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 x14ac:dyDescent="0.25">
      <c r="B8" s="1" t="s">
        <v>263</v>
      </c>
      <c r="C8" s="9">
        <v>0</v>
      </c>
      <c r="D8" s="9">
        <v>0</v>
      </c>
      <c r="E8" s="9">
        <v>40</v>
      </c>
      <c r="F8" s="9">
        <v>50</v>
      </c>
      <c r="G8" s="9">
        <v>10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</row>
    <row r="9" spans="1:15" x14ac:dyDescent="0.25">
      <c r="B9" s="1" t="s">
        <v>264</v>
      </c>
      <c r="C9" s="9">
        <v>0</v>
      </c>
      <c r="D9" s="9">
        <v>0</v>
      </c>
      <c r="E9" s="9">
        <v>100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</row>
    <row r="10" spans="1:15" x14ac:dyDescent="0.25">
      <c r="B10" s="1" t="s">
        <v>265</v>
      </c>
      <c r="C10" s="9">
        <v>0</v>
      </c>
      <c r="D10" s="9">
        <v>0</v>
      </c>
      <c r="E10" s="9">
        <v>40</v>
      </c>
      <c r="F10" s="9">
        <v>50</v>
      </c>
      <c r="G10" s="9">
        <v>10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</row>
    <row r="11" spans="1:15" x14ac:dyDescent="0.25">
      <c r="B11" s="1" t="s">
        <v>266</v>
      </c>
      <c r="C11" s="9">
        <v>0</v>
      </c>
      <c r="D11" s="9">
        <v>0</v>
      </c>
      <c r="E11" s="9">
        <v>40</v>
      </c>
      <c r="F11" s="9">
        <v>50</v>
      </c>
      <c r="G11" s="9">
        <v>10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</row>
    <row r="15" spans="1:15" x14ac:dyDescent="0.25">
      <c r="A15" s="4" t="s">
        <v>267</v>
      </c>
    </row>
    <row r="16" spans="1:15" x14ac:dyDescent="0.25">
      <c r="B16" s="1" t="s">
        <v>268</v>
      </c>
      <c r="C16" s="9">
        <v>0</v>
      </c>
      <c r="D16" s="9">
        <v>0</v>
      </c>
      <c r="E16" s="9">
        <v>40</v>
      </c>
      <c r="F16" s="9">
        <v>40</v>
      </c>
      <c r="G16" s="9">
        <v>20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</row>
    <row r="17" spans="1:15" x14ac:dyDescent="0.25">
      <c r="B17" s="1" t="s">
        <v>269</v>
      </c>
      <c r="C17" s="9">
        <v>0</v>
      </c>
      <c r="D17" s="9">
        <v>0</v>
      </c>
      <c r="E17" s="9">
        <v>40</v>
      </c>
      <c r="F17" s="9">
        <v>40</v>
      </c>
      <c r="G17" s="9">
        <v>20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</row>
    <row r="19" spans="1:15" x14ac:dyDescent="0.25">
      <c r="A19" s="4" t="s">
        <v>270</v>
      </c>
    </row>
    <row r="20" spans="1:15" x14ac:dyDescent="0.25">
      <c r="B20" s="1" t="s">
        <v>271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1:15" x14ac:dyDescent="0.25">
      <c r="B21" s="1" t="s">
        <v>272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</row>
    <row r="22" spans="1:15" x14ac:dyDescent="0.25">
      <c r="B22" s="1" t="s">
        <v>273</v>
      </c>
      <c r="C22" s="9">
        <v>0</v>
      </c>
      <c r="D22" s="9">
        <v>0</v>
      </c>
      <c r="E22" s="9">
        <v>30</v>
      </c>
      <c r="F22" s="9">
        <v>65</v>
      </c>
      <c r="G22" s="9">
        <v>5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</row>
    <row r="23" spans="1:15" x14ac:dyDescent="0.25">
      <c r="B23" s="1" t="s">
        <v>274</v>
      </c>
      <c r="C23" s="9">
        <v>0</v>
      </c>
      <c r="D23" s="9">
        <v>0</v>
      </c>
      <c r="E23" s="9">
        <v>0</v>
      </c>
      <c r="F23" s="9">
        <v>95</v>
      </c>
      <c r="G23" s="9">
        <v>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</row>
    <row r="24" spans="1:15" x14ac:dyDescent="0.25">
      <c r="B24" s="1" t="s">
        <v>275</v>
      </c>
      <c r="C24" s="9">
        <v>0</v>
      </c>
      <c r="D24" s="9">
        <v>0</v>
      </c>
      <c r="E24" s="9">
        <v>0</v>
      </c>
      <c r="F24" s="9">
        <v>0</v>
      </c>
      <c r="G24" s="9">
        <v>100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</row>
    <row r="25" spans="1:15" x14ac:dyDescent="0.25">
      <c r="B25" s="1" t="s">
        <v>276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1:15" x14ac:dyDescent="0.25">
      <c r="B26" s="1" t="s">
        <v>277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</row>
    <row r="27" spans="1:15" x14ac:dyDescent="0.25">
      <c r="B27" s="1" t="s">
        <v>278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1:15" x14ac:dyDescent="0.25">
      <c r="B28" s="1" t="s">
        <v>279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5" x14ac:dyDescent="0.25">
      <c r="B29" s="1" t="s">
        <v>280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 x14ac:dyDescent="0.25">
      <c r="B30" s="1" t="s">
        <v>281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</row>
    <row r="31" spans="1:15" x14ac:dyDescent="0.25">
      <c r="B31" s="1" t="s">
        <v>282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</row>
    <row r="32" spans="1:15" x14ac:dyDescent="0.25">
      <c r="B32" s="1" t="s">
        <v>283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</row>
    <row r="35" spans="1:15" x14ac:dyDescent="0.25">
      <c r="A35" s="4" t="s">
        <v>284</v>
      </c>
    </row>
    <row r="36" spans="1:15" x14ac:dyDescent="0.25">
      <c r="B36" s="1" t="s">
        <v>285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 x14ac:dyDescent="0.25">
      <c r="B37" s="1" t="s">
        <v>286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x14ac:dyDescent="0.25">
      <c r="B38" s="1" t="s">
        <v>287</v>
      </c>
      <c r="C38" s="9">
        <v>0</v>
      </c>
      <c r="D38" s="9">
        <v>0</v>
      </c>
      <c r="E38" s="9">
        <v>30</v>
      </c>
      <c r="F38" s="9">
        <v>65</v>
      </c>
      <c r="G38" s="9">
        <v>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 x14ac:dyDescent="0.25">
      <c r="B39" s="1" t="s">
        <v>288</v>
      </c>
      <c r="C39" s="9">
        <v>0</v>
      </c>
      <c r="D39" s="9">
        <v>0</v>
      </c>
      <c r="E39" s="9">
        <v>0</v>
      </c>
      <c r="F39" s="9">
        <v>95</v>
      </c>
      <c r="G39" s="9">
        <v>5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 x14ac:dyDescent="0.25">
      <c r="B40" s="1" t="s">
        <v>289</v>
      </c>
      <c r="C40" s="9">
        <v>0</v>
      </c>
      <c r="D40" s="9">
        <v>0</v>
      </c>
      <c r="E40" s="9">
        <v>0</v>
      </c>
      <c r="F40" s="9">
        <v>0</v>
      </c>
      <c r="G40" s="9">
        <v>100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1:15" x14ac:dyDescent="0.25">
      <c r="B41" s="1" t="s">
        <v>290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 x14ac:dyDescent="0.25">
      <c r="B42" s="1" t="s">
        <v>291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 x14ac:dyDescent="0.25">
      <c r="B43" s="1" t="s">
        <v>292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 x14ac:dyDescent="0.25">
      <c r="B44" s="1" t="s">
        <v>293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 x14ac:dyDescent="0.25">
      <c r="B45" s="1" t="s">
        <v>294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 x14ac:dyDescent="0.25">
      <c r="B46" s="1" t="s">
        <v>295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 x14ac:dyDescent="0.25">
      <c r="B47" s="1" t="s">
        <v>296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 x14ac:dyDescent="0.25">
      <c r="B48" s="1" t="s">
        <v>297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S27"/>
  <sheetViews>
    <sheetView showGridLines="0" workbookViewId="0"/>
  </sheetViews>
  <sheetFormatPr defaultRowHeight="15" x14ac:dyDescent="0.25"/>
  <cols>
    <col min="1" max="7" width="10" customWidth="1"/>
    <col min="8" max="19" width="12" customWidth="1"/>
  </cols>
  <sheetData>
    <row r="1" spans="1:19" ht="30" customHeight="1" x14ac:dyDescent="0.25">
      <c r="A1" s="18" t="s">
        <v>298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x14ac:dyDescent="0.25">
      <c r="A2" s="4" t="s">
        <v>299</v>
      </c>
    </row>
    <row r="3" spans="1:19" x14ac:dyDescent="0.25">
      <c r="A3" s="12">
        <v>1</v>
      </c>
      <c r="B3" s="6">
        <v>9202</v>
      </c>
      <c r="C3" s="6">
        <v>10529</v>
      </c>
      <c r="D3" s="6">
        <v>11175</v>
      </c>
      <c r="E3" s="6">
        <v>11793</v>
      </c>
      <c r="F3" s="6">
        <v>13024</v>
      </c>
      <c r="G3" s="6">
        <v>14247</v>
      </c>
      <c r="H3" s="6">
        <v>7784</v>
      </c>
      <c r="I3" s="6">
        <v>8931</v>
      </c>
      <c r="J3" s="6">
        <v>9448</v>
      </c>
      <c r="K3" s="6">
        <v>10002</v>
      </c>
      <c r="L3" s="6">
        <v>11046</v>
      </c>
      <c r="M3" s="6">
        <v>12082</v>
      </c>
      <c r="N3" s="6">
        <v>432</v>
      </c>
      <c r="O3" s="6">
        <v>470</v>
      </c>
      <c r="P3" s="6">
        <v>530</v>
      </c>
      <c r="Q3" s="6">
        <v>593</v>
      </c>
      <c r="R3" s="6">
        <v>654</v>
      </c>
      <c r="S3" s="6">
        <v>716</v>
      </c>
    </row>
    <row r="4" spans="1:19" x14ac:dyDescent="0.25">
      <c r="A4" s="12">
        <v>6</v>
      </c>
      <c r="B4" s="6">
        <v>10316</v>
      </c>
      <c r="C4" s="6">
        <v>11033</v>
      </c>
      <c r="D4" s="6">
        <v>11772</v>
      </c>
      <c r="E4" s="6">
        <v>12637</v>
      </c>
      <c r="F4" s="6">
        <v>13561</v>
      </c>
      <c r="G4" s="6">
        <v>14527</v>
      </c>
      <c r="H4" s="6">
        <v>8082</v>
      </c>
      <c r="I4" s="6">
        <v>8643</v>
      </c>
      <c r="J4" s="6">
        <v>9223</v>
      </c>
      <c r="K4" s="6">
        <v>9900</v>
      </c>
      <c r="L4" s="6">
        <v>10623</v>
      </c>
      <c r="M4" s="6">
        <v>11380</v>
      </c>
      <c r="N4" s="6">
        <v>724</v>
      </c>
      <c r="O4" s="6">
        <v>774</v>
      </c>
      <c r="P4" s="6">
        <v>826</v>
      </c>
      <c r="Q4" s="6">
        <v>886</v>
      </c>
      <c r="R4" s="6">
        <v>951</v>
      </c>
      <c r="S4" s="6">
        <v>1019</v>
      </c>
    </row>
    <row r="5" spans="1:19" x14ac:dyDescent="0.25">
      <c r="A5" s="12">
        <v>8</v>
      </c>
      <c r="B5" s="6">
        <v>10629</v>
      </c>
      <c r="C5" s="6">
        <v>11122</v>
      </c>
      <c r="D5" s="6">
        <v>11671</v>
      </c>
      <c r="E5" s="6">
        <v>12344</v>
      </c>
      <c r="F5" s="6">
        <v>13091</v>
      </c>
      <c r="G5" s="6">
        <v>13896</v>
      </c>
      <c r="H5" s="6">
        <v>8458</v>
      </c>
      <c r="I5" s="6">
        <v>8850</v>
      </c>
      <c r="J5" s="6">
        <v>9286</v>
      </c>
      <c r="K5" s="6">
        <v>9822</v>
      </c>
      <c r="L5" s="6">
        <v>10417</v>
      </c>
      <c r="M5" s="6">
        <v>11057</v>
      </c>
      <c r="N5" s="6">
        <v>758</v>
      </c>
      <c r="O5" s="6">
        <v>793</v>
      </c>
      <c r="P5" s="6">
        <v>832</v>
      </c>
      <c r="Q5" s="6">
        <v>881</v>
      </c>
      <c r="R5" s="6">
        <v>934</v>
      </c>
      <c r="S5" s="6">
        <v>991</v>
      </c>
    </row>
    <row r="6" spans="1:19" x14ac:dyDescent="0.25">
      <c r="A6" s="12">
        <v>11</v>
      </c>
      <c r="B6" s="6">
        <v>11132</v>
      </c>
      <c r="C6" s="6">
        <v>11450</v>
      </c>
      <c r="D6" s="6">
        <v>11829</v>
      </c>
      <c r="E6" s="6">
        <v>12320</v>
      </c>
      <c r="F6" s="6">
        <v>12883</v>
      </c>
      <c r="G6" s="6">
        <v>13512</v>
      </c>
      <c r="H6" s="6">
        <v>9041</v>
      </c>
      <c r="I6" s="6">
        <v>9301</v>
      </c>
      <c r="J6" s="6">
        <v>9608</v>
      </c>
      <c r="K6" s="6">
        <v>10006</v>
      </c>
      <c r="L6" s="6">
        <v>10465</v>
      </c>
      <c r="M6" s="6">
        <v>10975</v>
      </c>
      <c r="N6" s="6">
        <v>758</v>
      </c>
      <c r="O6" s="6">
        <v>780</v>
      </c>
      <c r="P6" s="6">
        <v>806</v>
      </c>
      <c r="Q6" s="6">
        <v>839</v>
      </c>
      <c r="R6" s="6">
        <v>877</v>
      </c>
      <c r="S6" s="6">
        <v>920</v>
      </c>
    </row>
    <row r="7" spans="1:19" x14ac:dyDescent="0.25">
      <c r="A7" s="12">
        <v>16</v>
      </c>
      <c r="B7" s="6">
        <v>12410</v>
      </c>
      <c r="C7" s="6">
        <v>12590</v>
      </c>
      <c r="D7" s="6">
        <v>12830</v>
      </c>
      <c r="E7" s="6">
        <v>13168</v>
      </c>
      <c r="F7" s="6">
        <v>13576</v>
      </c>
      <c r="G7" s="6">
        <v>14048</v>
      </c>
      <c r="H7" s="6">
        <v>9521</v>
      </c>
      <c r="I7" s="6">
        <v>9660</v>
      </c>
      <c r="J7" s="6">
        <v>9843</v>
      </c>
      <c r="K7" s="6">
        <v>10102</v>
      </c>
      <c r="L7" s="6">
        <v>10416</v>
      </c>
      <c r="M7" s="6">
        <v>10778</v>
      </c>
      <c r="N7" s="6">
        <v>1034</v>
      </c>
      <c r="O7" s="6">
        <v>1049</v>
      </c>
      <c r="P7" s="6">
        <v>1069</v>
      </c>
      <c r="Q7" s="6">
        <v>1096</v>
      </c>
      <c r="R7" s="6">
        <v>1131</v>
      </c>
      <c r="S7" s="6">
        <v>1170</v>
      </c>
    </row>
    <row r="8" spans="1:19" x14ac:dyDescent="0.25">
      <c r="A8" s="12">
        <v>21</v>
      </c>
      <c r="B8" s="6">
        <v>13818</v>
      </c>
      <c r="C8" s="6">
        <v>13923</v>
      </c>
      <c r="D8" s="6">
        <v>14083</v>
      </c>
      <c r="E8" s="6">
        <v>14335</v>
      </c>
      <c r="F8" s="6">
        <v>14655</v>
      </c>
      <c r="G8" s="6">
        <v>15037</v>
      </c>
      <c r="H8" s="6">
        <v>10611</v>
      </c>
      <c r="I8" s="6">
        <v>10691</v>
      </c>
      <c r="J8" s="6">
        <v>10814</v>
      </c>
      <c r="K8" s="6">
        <v>11008</v>
      </c>
      <c r="L8" s="6">
        <v>11255</v>
      </c>
      <c r="M8" s="6">
        <v>11548</v>
      </c>
      <c r="N8" s="6">
        <v>1367</v>
      </c>
      <c r="O8" s="6">
        <v>1377</v>
      </c>
      <c r="P8" s="6">
        <v>1393</v>
      </c>
      <c r="Q8" s="6">
        <v>1418</v>
      </c>
      <c r="R8" s="6">
        <v>1450</v>
      </c>
      <c r="S8" s="6">
        <v>1488</v>
      </c>
    </row>
    <row r="9" spans="1:19" x14ac:dyDescent="0.25">
      <c r="A9" s="12">
        <v>25</v>
      </c>
      <c r="B9" s="6">
        <v>14508</v>
      </c>
      <c r="C9" s="6">
        <v>14570</v>
      </c>
      <c r="D9" s="6">
        <v>14679</v>
      </c>
      <c r="E9" s="6">
        <v>14868</v>
      </c>
      <c r="F9" s="6">
        <v>15116</v>
      </c>
      <c r="G9" s="6">
        <v>15420</v>
      </c>
      <c r="H9" s="6">
        <v>11144</v>
      </c>
      <c r="I9" s="6">
        <v>11191</v>
      </c>
      <c r="J9" s="6">
        <v>11274</v>
      </c>
      <c r="K9" s="6">
        <v>11420</v>
      </c>
      <c r="L9" s="6">
        <v>11610</v>
      </c>
      <c r="M9" s="6">
        <v>11843</v>
      </c>
      <c r="N9" s="6">
        <v>1436</v>
      </c>
      <c r="O9" s="6">
        <v>1442</v>
      </c>
      <c r="P9" s="6">
        <v>1453</v>
      </c>
      <c r="Q9" s="6">
        <v>1472</v>
      </c>
      <c r="R9" s="6">
        <v>1496</v>
      </c>
      <c r="S9" s="6">
        <v>1526</v>
      </c>
    </row>
    <row r="10" spans="1:19" x14ac:dyDescent="0.25">
      <c r="A10" s="12">
        <v>31</v>
      </c>
      <c r="B10" s="6">
        <v>15849</v>
      </c>
      <c r="C10" s="6">
        <v>15890</v>
      </c>
      <c r="D10" s="6">
        <v>15978</v>
      </c>
      <c r="E10" s="6">
        <v>16138</v>
      </c>
      <c r="F10" s="6">
        <v>16356</v>
      </c>
      <c r="G10" s="6">
        <v>16625</v>
      </c>
      <c r="H10" s="6">
        <v>12000</v>
      </c>
      <c r="I10" s="6">
        <v>12031</v>
      </c>
      <c r="J10" s="6">
        <v>12096</v>
      </c>
      <c r="K10" s="6">
        <v>12217</v>
      </c>
      <c r="L10" s="6">
        <v>12382</v>
      </c>
      <c r="M10" s="6">
        <v>12587</v>
      </c>
      <c r="N10" s="6">
        <v>1700</v>
      </c>
      <c r="O10" s="6">
        <v>1705</v>
      </c>
      <c r="P10" s="6">
        <v>1714</v>
      </c>
      <c r="Q10" s="6">
        <v>1731</v>
      </c>
      <c r="R10" s="6">
        <v>1754</v>
      </c>
      <c r="S10" s="6">
        <v>1783</v>
      </c>
    </row>
    <row r="11" spans="1:19" x14ac:dyDescent="0.25">
      <c r="A11" s="12">
        <v>36</v>
      </c>
      <c r="B11" s="6">
        <v>17024</v>
      </c>
      <c r="C11" s="6">
        <v>17050</v>
      </c>
      <c r="D11" s="6">
        <v>17117</v>
      </c>
      <c r="E11" s="6">
        <v>17255</v>
      </c>
      <c r="F11" s="6">
        <v>17445</v>
      </c>
      <c r="G11" s="6">
        <v>17688</v>
      </c>
      <c r="H11" s="6">
        <v>12791</v>
      </c>
      <c r="I11" s="6">
        <v>12810</v>
      </c>
      <c r="J11" s="6">
        <v>12861</v>
      </c>
      <c r="K11" s="6">
        <v>12965</v>
      </c>
      <c r="L11" s="6">
        <v>13108</v>
      </c>
      <c r="M11" s="6">
        <v>13289</v>
      </c>
      <c r="N11" s="6">
        <v>1907</v>
      </c>
      <c r="O11" s="6">
        <v>1910</v>
      </c>
      <c r="P11" s="6">
        <v>1917</v>
      </c>
      <c r="Q11" s="6">
        <v>1933</v>
      </c>
      <c r="R11" s="6">
        <v>1954</v>
      </c>
      <c r="S11" s="6">
        <v>1982</v>
      </c>
    </row>
    <row r="12" spans="1:19" x14ac:dyDescent="0.25">
      <c r="A12" s="12">
        <v>41</v>
      </c>
      <c r="B12" s="6">
        <v>18197</v>
      </c>
      <c r="C12" s="6">
        <v>18216</v>
      </c>
      <c r="D12" s="6">
        <v>18276</v>
      </c>
      <c r="E12" s="6">
        <v>18401</v>
      </c>
      <c r="F12" s="6">
        <v>18577</v>
      </c>
      <c r="G12" s="6">
        <v>18803</v>
      </c>
      <c r="H12" s="6">
        <v>13581</v>
      </c>
      <c r="I12" s="6">
        <v>13596</v>
      </c>
      <c r="J12" s="6">
        <v>13641</v>
      </c>
      <c r="K12" s="6">
        <v>13733</v>
      </c>
      <c r="L12" s="6">
        <v>13866</v>
      </c>
      <c r="M12" s="6">
        <v>14035</v>
      </c>
      <c r="N12" s="6">
        <v>2113</v>
      </c>
      <c r="O12" s="6">
        <v>2116</v>
      </c>
      <c r="P12" s="6">
        <v>2122</v>
      </c>
      <c r="Q12" s="6">
        <v>2137</v>
      </c>
      <c r="R12" s="6">
        <v>2158</v>
      </c>
      <c r="S12" s="6">
        <v>2184</v>
      </c>
    </row>
    <row r="13" spans="1:19" x14ac:dyDescent="0.25">
      <c r="A13" s="12">
        <v>46</v>
      </c>
      <c r="B13" s="6">
        <v>19370</v>
      </c>
      <c r="C13" s="6">
        <v>19381</v>
      </c>
      <c r="D13" s="6">
        <v>19430</v>
      </c>
      <c r="E13" s="6">
        <v>19541</v>
      </c>
      <c r="F13" s="6">
        <v>19702</v>
      </c>
      <c r="G13" s="6">
        <v>19912</v>
      </c>
      <c r="H13" s="6">
        <v>14373</v>
      </c>
      <c r="I13" s="6">
        <v>14381</v>
      </c>
      <c r="J13" s="6">
        <v>14418</v>
      </c>
      <c r="K13" s="6">
        <v>14499</v>
      </c>
      <c r="L13" s="6">
        <v>14620</v>
      </c>
      <c r="M13" s="6">
        <v>14774</v>
      </c>
      <c r="N13" s="6">
        <v>2320</v>
      </c>
      <c r="O13" s="6">
        <v>2321</v>
      </c>
      <c r="P13" s="6">
        <v>2328</v>
      </c>
      <c r="Q13" s="6">
        <v>2341</v>
      </c>
      <c r="R13" s="6">
        <v>2360</v>
      </c>
      <c r="S13" s="6">
        <v>2386</v>
      </c>
    </row>
    <row r="16" spans="1:19" x14ac:dyDescent="0.25">
      <c r="A16" s="4" t="s">
        <v>300</v>
      </c>
    </row>
    <row r="17" spans="1:19" x14ac:dyDescent="0.25">
      <c r="A17" s="12">
        <v>1</v>
      </c>
      <c r="B17" s="6">
        <v>9246</v>
      </c>
      <c r="C17" s="6">
        <v>10263</v>
      </c>
      <c r="D17" s="6">
        <v>11468</v>
      </c>
      <c r="E17" s="6">
        <v>12159</v>
      </c>
      <c r="F17" s="6">
        <v>13389</v>
      </c>
      <c r="G17" s="6">
        <v>14612</v>
      </c>
      <c r="H17" s="6">
        <v>7888</v>
      </c>
      <c r="I17" s="6">
        <v>8732</v>
      </c>
      <c r="J17" s="6">
        <v>9754</v>
      </c>
      <c r="K17" s="6">
        <v>10524</v>
      </c>
      <c r="L17" s="6">
        <v>11586</v>
      </c>
      <c r="M17" s="6">
        <v>12645</v>
      </c>
      <c r="N17" s="6">
        <v>517</v>
      </c>
      <c r="O17" s="6">
        <v>598</v>
      </c>
      <c r="P17" s="6">
        <v>671</v>
      </c>
      <c r="Q17" s="6">
        <v>747</v>
      </c>
      <c r="R17" s="6">
        <v>822</v>
      </c>
      <c r="S17" s="6">
        <v>897</v>
      </c>
    </row>
    <row r="18" spans="1:19" x14ac:dyDescent="0.25">
      <c r="A18" s="12">
        <v>6</v>
      </c>
      <c r="B18" s="6">
        <v>10851</v>
      </c>
      <c r="C18" s="6">
        <v>11531</v>
      </c>
      <c r="D18" s="6">
        <v>12243</v>
      </c>
      <c r="E18" s="6">
        <v>13090</v>
      </c>
      <c r="F18" s="6">
        <v>14001</v>
      </c>
      <c r="G18" s="6">
        <v>14961</v>
      </c>
      <c r="H18" s="6">
        <v>8673</v>
      </c>
      <c r="I18" s="6">
        <v>9215</v>
      </c>
      <c r="J18" s="6">
        <v>9783</v>
      </c>
      <c r="K18" s="6">
        <v>10460</v>
      </c>
      <c r="L18" s="6">
        <v>11189</v>
      </c>
      <c r="M18" s="6">
        <v>11957</v>
      </c>
      <c r="N18" s="6">
        <v>942</v>
      </c>
      <c r="O18" s="6">
        <v>1001</v>
      </c>
      <c r="P18" s="6">
        <v>1063</v>
      </c>
      <c r="Q18" s="6">
        <v>1136</v>
      </c>
      <c r="R18" s="6">
        <v>1215</v>
      </c>
      <c r="S18" s="6">
        <v>1298</v>
      </c>
    </row>
    <row r="19" spans="1:19" x14ac:dyDescent="0.25">
      <c r="A19" s="12">
        <v>8</v>
      </c>
      <c r="B19" s="6">
        <v>11182</v>
      </c>
      <c r="C19" s="6">
        <v>11647</v>
      </c>
      <c r="D19" s="6">
        <v>12172</v>
      </c>
      <c r="E19" s="6">
        <v>12830</v>
      </c>
      <c r="F19" s="6">
        <v>13565</v>
      </c>
      <c r="G19" s="6">
        <v>13565</v>
      </c>
      <c r="H19" s="6">
        <v>9067</v>
      </c>
      <c r="I19" s="6">
        <v>9444</v>
      </c>
      <c r="J19" s="6">
        <v>9870</v>
      </c>
      <c r="K19" s="6">
        <v>10404</v>
      </c>
      <c r="L19" s="6">
        <v>11000</v>
      </c>
      <c r="M19" s="6">
        <v>11000</v>
      </c>
      <c r="N19" s="6">
        <v>976</v>
      </c>
      <c r="O19" s="6">
        <v>1017</v>
      </c>
      <c r="P19" s="6">
        <v>1063</v>
      </c>
      <c r="Q19" s="6">
        <v>1121</v>
      </c>
      <c r="R19" s="6">
        <v>1184</v>
      </c>
      <c r="S19" s="6">
        <v>1184</v>
      </c>
    </row>
    <row r="20" spans="1:19" x14ac:dyDescent="0.25">
      <c r="A20" s="12">
        <v>11</v>
      </c>
      <c r="B20" s="6">
        <v>11696</v>
      </c>
      <c r="C20" s="6">
        <v>11993</v>
      </c>
      <c r="D20" s="6">
        <v>12353</v>
      </c>
      <c r="E20" s="6">
        <v>12828</v>
      </c>
      <c r="F20" s="6">
        <v>13381</v>
      </c>
      <c r="G20" s="6">
        <v>14001</v>
      </c>
      <c r="H20" s="6">
        <v>9700</v>
      </c>
      <c r="I20" s="6">
        <v>9946</v>
      </c>
      <c r="J20" s="6">
        <v>10245</v>
      </c>
      <c r="K20" s="6">
        <v>10638</v>
      </c>
      <c r="L20" s="6">
        <v>11097</v>
      </c>
      <c r="M20" s="6">
        <v>11610</v>
      </c>
      <c r="N20" s="6">
        <v>1332</v>
      </c>
      <c r="O20" s="6">
        <v>1367</v>
      </c>
      <c r="P20" s="6">
        <v>1407</v>
      </c>
      <c r="Q20" s="6">
        <v>1461</v>
      </c>
      <c r="R20" s="6">
        <v>1525</v>
      </c>
      <c r="S20" s="6">
        <v>1595</v>
      </c>
    </row>
    <row r="21" spans="1:19" x14ac:dyDescent="0.25">
      <c r="A21" s="12">
        <v>16</v>
      </c>
      <c r="B21" s="6">
        <v>13031</v>
      </c>
      <c r="C21" s="6">
        <v>13191</v>
      </c>
      <c r="D21" s="6">
        <v>13413</v>
      </c>
      <c r="E21" s="6">
        <v>13736</v>
      </c>
      <c r="F21" s="6">
        <v>14134</v>
      </c>
      <c r="G21" s="6">
        <v>14597</v>
      </c>
      <c r="H21" s="6">
        <v>10215</v>
      </c>
      <c r="I21" s="6">
        <v>10341</v>
      </c>
      <c r="J21" s="6">
        <v>10513</v>
      </c>
      <c r="K21" s="6">
        <v>10768</v>
      </c>
      <c r="L21" s="6">
        <v>11080</v>
      </c>
      <c r="M21" s="6">
        <v>11443</v>
      </c>
      <c r="N21" s="6">
        <v>1585</v>
      </c>
      <c r="O21" s="6">
        <v>1604</v>
      </c>
      <c r="P21" s="6">
        <v>1632</v>
      </c>
      <c r="Q21" s="6">
        <v>1671</v>
      </c>
      <c r="R21" s="6">
        <v>1720</v>
      </c>
      <c r="S21" s="6">
        <v>1776</v>
      </c>
    </row>
    <row r="22" spans="1:19" x14ac:dyDescent="0.25">
      <c r="A22" s="12">
        <v>21</v>
      </c>
      <c r="B22" s="6">
        <v>14516</v>
      </c>
      <c r="C22" s="6">
        <v>14601</v>
      </c>
      <c r="D22" s="6">
        <v>14744</v>
      </c>
      <c r="E22" s="6">
        <v>14982</v>
      </c>
      <c r="F22" s="6">
        <v>15291</v>
      </c>
      <c r="G22" s="6">
        <v>15663</v>
      </c>
      <c r="H22" s="6">
        <v>11375</v>
      </c>
      <c r="I22" s="6">
        <v>11441</v>
      </c>
      <c r="J22" s="6">
        <v>11554</v>
      </c>
      <c r="K22" s="6">
        <v>11740</v>
      </c>
      <c r="L22" s="6">
        <v>11982</v>
      </c>
      <c r="M22" s="6">
        <v>12273</v>
      </c>
      <c r="N22" s="6">
        <v>1769</v>
      </c>
      <c r="O22" s="6">
        <v>1780</v>
      </c>
      <c r="P22" s="6">
        <v>1797</v>
      </c>
      <c r="Q22" s="6">
        <v>1826</v>
      </c>
      <c r="R22" s="6">
        <v>1864</v>
      </c>
      <c r="S22" s="6">
        <v>1909</v>
      </c>
    </row>
    <row r="23" spans="1:19" x14ac:dyDescent="0.25">
      <c r="A23" s="12">
        <v>25</v>
      </c>
      <c r="B23" s="6">
        <v>15240</v>
      </c>
      <c r="C23" s="6">
        <v>15285</v>
      </c>
      <c r="D23" s="6">
        <v>15380</v>
      </c>
      <c r="E23" s="6">
        <v>15556</v>
      </c>
      <c r="F23" s="6">
        <v>15794</v>
      </c>
      <c r="G23" s="6">
        <v>16087</v>
      </c>
      <c r="H23" s="6">
        <v>11954</v>
      </c>
      <c r="I23" s="6">
        <v>11990</v>
      </c>
      <c r="J23" s="6">
        <v>12064</v>
      </c>
      <c r="K23" s="6">
        <v>12202</v>
      </c>
      <c r="L23" s="6">
        <v>12388</v>
      </c>
      <c r="M23" s="6">
        <v>12619</v>
      </c>
      <c r="N23" s="6">
        <v>1860</v>
      </c>
      <c r="O23" s="6">
        <v>1866</v>
      </c>
      <c r="P23" s="6">
        <v>1878</v>
      </c>
      <c r="Q23" s="6">
        <v>1900</v>
      </c>
      <c r="R23" s="6">
        <v>1929</v>
      </c>
      <c r="S23" s="6">
        <v>1964</v>
      </c>
    </row>
    <row r="24" spans="1:19" x14ac:dyDescent="0.25">
      <c r="A24" s="12">
        <v>31</v>
      </c>
      <c r="B24" s="6">
        <v>16656</v>
      </c>
      <c r="C24" s="6">
        <v>16682</v>
      </c>
      <c r="D24" s="6">
        <v>16754</v>
      </c>
      <c r="E24" s="6">
        <v>16902</v>
      </c>
      <c r="F24" s="6">
        <v>17109</v>
      </c>
      <c r="G24" s="6">
        <v>17369</v>
      </c>
      <c r="H24" s="6">
        <v>12863</v>
      </c>
      <c r="I24" s="6">
        <v>12884</v>
      </c>
      <c r="J24" s="6">
        <v>12939</v>
      </c>
      <c r="K24" s="6">
        <v>13054</v>
      </c>
      <c r="L24" s="6">
        <v>13213</v>
      </c>
      <c r="M24" s="6">
        <v>13414</v>
      </c>
      <c r="N24" s="6">
        <v>2206</v>
      </c>
      <c r="O24" s="6">
        <v>2209</v>
      </c>
      <c r="P24" s="6">
        <v>2218</v>
      </c>
      <c r="Q24" s="6">
        <v>2238</v>
      </c>
      <c r="R24" s="6">
        <v>2266</v>
      </c>
      <c r="S24" s="6">
        <v>2300</v>
      </c>
    </row>
    <row r="25" spans="1:19" x14ac:dyDescent="0.25">
      <c r="A25" s="12">
        <v>36</v>
      </c>
      <c r="B25" s="6">
        <v>17881</v>
      </c>
      <c r="C25" s="6">
        <v>17892</v>
      </c>
      <c r="D25" s="6">
        <v>17946</v>
      </c>
      <c r="E25" s="6">
        <v>18071</v>
      </c>
      <c r="F25" s="6">
        <v>18251</v>
      </c>
      <c r="G25" s="6">
        <v>18484</v>
      </c>
      <c r="H25" s="6">
        <v>13721</v>
      </c>
      <c r="I25" s="6">
        <v>13728</v>
      </c>
      <c r="J25" s="6">
        <v>13770</v>
      </c>
      <c r="K25" s="6">
        <v>13866</v>
      </c>
      <c r="L25" s="6">
        <v>14004</v>
      </c>
      <c r="M25" s="6">
        <v>14183</v>
      </c>
      <c r="N25" s="6">
        <v>2470</v>
      </c>
      <c r="O25" s="6">
        <v>2471</v>
      </c>
      <c r="P25" s="6">
        <v>2479</v>
      </c>
      <c r="Q25" s="6">
        <v>2496</v>
      </c>
      <c r="R25" s="6">
        <v>2521</v>
      </c>
      <c r="S25" s="6">
        <v>2553</v>
      </c>
    </row>
    <row r="26" spans="1:19" x14ac:dyDescent="0.25">
      <c r="A26" s="12">
        <v>41</v>
      </c>
      <c r="B26" s="6">
        <v>19116</v>
      </c>
      <c r="C26" s="6">
        <v>19122</v>
      </c>
      <c r="D26" s="6">
        <v>19170</v>
      </c>
      <c r="E26" s="6">
        <v>19284</v>
      </c>
      <c r="F26" s="6">
        <v>19453</v>
      </c>
      <c r="G26" s="6">
        <v>19672</v>
      </c>
      <c r="H26" s="6">
        <v>14564</v>
      </c>
      <c r="I26" s="6">
        <v>14568</v>
      </c>
      <c r="J26" s="6">
        <v>14605</v>
      </c>
      <c r="K26" s="6">
        <v>14692</v>
      </c>
      <c r="L26" s="6">
        <v>14820</v>
      </c>
      <c r="M26" s="6">
        <v>14987</v>
      </c>
      <c r="N26" s="6">
        <v>2734</v>
      </c>
      <c r="O26" s="6">
        <v>2734</v>
      </c>
      <c r="P26" s="6">
        <v>2741</v>
      </c>
      <c r="Q26" s="6">
        <v>2758</v>
      </c>
      <c r="R26" s="6">
        <v>2781</v>
      </c>
      <c r="S26" s="6">
        <v>2813</v>
      </c>
    </row>
    <row r="27" spans="1:19" x14ac:dyDescent="0.25">
      <c r="A27" s="12">
        <v>46</v>
      </c>
      <c r="B27" s="6">
        <v>20340</v>
      </c>
      <c r="C27" s="6">
        <v>20342</v>
      </c>
      <c r="D27" s="6">
        <v>20385</v>
      </c>
      <c r="E27" s="6">
        <v>20492</v>
      </c>
      <c r="F27" s="6">
        <v>20650</v>
      </c>
      <c r="G27" s="6">
        <v>20858</v>
      </c>
      <c r="H27" s="6">
        <v>15420</v>
      </c>
      <c r="I27" s="6">
        <v>15423</v>
      </c>
      <c r="J27" s="6">
        <v>15454</v>
      </c>
      <c r="K27" s="6">
        <v>15535</v>
      </c>
      <c r="L27" s="6">
        <v>15656</v>
      </c>
      <c r="M27" s="6">
        <v>15812</v>
      </c>
      <c r="N27" s="6">
        <v>3010</v>
      </c>
      <c r="O27" s="6">
        <v>3010</v>
      </c>
      <c r="P27" s="6">
        <v>3016</v>
      </c>
      <c r="Q27" s="6">
        <v>3032</v>
      </c>
      <c r="R27" s="6">
        <v>3055</v>
      </c>
      <c r="S27" s="6">
        <v>3086</v>
      </c>
    </row>
  </sheetData>
  <mergeCells count="1">
    <mergeCell ref="A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B1:BK15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1" width="3" customWidth="1"/>
    <col min="2" max="2" width="46" customWidth="1"/>
    <col min="3" max="3" width="15" customWidth="1"/>
    <col min="4" max="63" width="12" customWidth="1"/>
  </cols>
  <sheetData>
    <row r="1" spans="2:63" ht="26.1" customHeight="1" x14ac:dyDescent="0.25">
      <c r="B1" s="22" t="s">
        <v>301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</row>
    <row r="2" spans="2:63" ht="18" customHeight="1" x14ac:dyDescent="0.25">
      <c r="B2" s="3" t="s">
        <v>302</v>
      </c>
      <c r="C2" s="3" t="s">
        <v>303</v>
      </c>
      <c r="D2" s="16">
        <v>46023</v>
      </c>
      <c r="E2" s="16">
        <v>46388</v>
      </c>
      <c r="F2" s="16">
        <v>46753</v>
      </c>
      <c r="G2" s="16">
        <v>47119</v>
      </c>
      <c r="H2" s="16">
        <v>47484</v>
      </c>
      <c r="I2" s="16">
        <v>47849</v>
      </c>
      <c r="J2" s="16">
        <v>48214</v>
      </c>
      <c r="K2" s="16">
        <v>48580</v>
      </c>
      <c r="L2" s="16">
        <v>48945</v>
      </c>
      <c r="M2" s="16">
        <v>49310</v>
      </c>
      <c r="N2" s="16">
        <v>49675</v>
      </c>
      <c r="O2" s="16">
        <v>50041</v>
      </c>
      <c r="P2" s="16">
        <v>50406</v>
      </c>
      <c r="Q2" s="16">
        <v>50771</v>
      </c>
      <c r="R2" s="16">
        <v>51136</v>
      </c>
      <c r="S2" s="16">
        <v>51502</v>
      </c>
      <c r="T2" s="16">
        <v>51867</v>
      </c>
      <c r="U2" s="16">
        <v>52232</v>
      </c>
      <c r="V2" s="16">
        <v>52597</v>
      </c>
      <c r="W2" s="16">
        <v>52963</v>
      </c>
      <c r="X2" s="16">
        <v>53328</v>
      </c>
      <c r="Y2" s="16">
        <v>53693</v>
      </c>
      <c r="Z2" s="16">
        <v>54058</v>
      </c>
      <c r="AA2" s="16">
        <v>54424</v>
      </c>
      <c r="AB2" s="16">
        <v>54789</v>
      </c>
      <c r="AC2" s="16">
        <v>55154</v>
      </c>
      <c r="AD2" s="16">
        <v>55519</v>
      </c>
      <c r="AE2" s="16">
        <v>55885</v>
      </c>
      <c r="AF2" s="16">
        <v>56250</v>
      </c>
      <c r="AG2" s="16">
        <v>56615</v>
      </c>
      <c r="AH2" s="16">
        <v>56980</v>
      </c>
      <c r="AI2" s="16">
        <v>57346</v>
      </c>
      <c r="AJ2" s="16">
        <v>57711</v>
      </c>
      <c r="AK2" s="16">
        <v>58076</v>
      </c>
      <c r="AL2" s="16">
        <v>58441</v>
      </c>
      <c r="AM2" s="16">
        <v>58807</v>
      </c>
      <c r="AN2" s="16">
        <v>59172</v>
      </c>
      <c r="AO2" s="16">
        <v>59537</v>
      </c>
      <c r="AP2" s="16">
        <v>59902</v>
      </c>
      <c r="AQ2" s="16">
        <v>60268</v>
      </c>
      <c r="AR2" s="16">
        <v>60633</v>
      </c>
      <c r="AS2" s="16">
        <v>60998</v>
      </c>
      <c r="AT2" s="16">
        <v>61363</v>
      </c>
      <c r="AU2" s="16">
        <v>61729</v>
      </c>
      <c r="AV2" s="16">
        <v>62094</v>
      </c>
      <c r="AW2" s="16">
        <v>62459</v>
      </c>
      <c r="AX2" s="16">
        <v>62824</v>
      </c>
      <c r="AY2" s="16">
        <v>63190</v>
      </c>
      <c r="AZ2" s="16">
        <v>63555</v>
      </c>
      <c r="BA2" s="16">
        <v>63920</v>
      </c>
      <c r="BB2" s="16">
        <v>64285</v>
      </c>
      <c r="BC2" s="16">
        <v>64651</v>
      </c>
      <c r="BD2" s="16">
        <v>65016</v>
      </c>
      <c r="BE2" s="16">
        <v>65381</v>
      </c>
      <c r="BF2" s="16">
        <v>65746</v>
      </c>
      <c r="BG2" s="16">
        <v>66112</v>
      </c>
      <c r="BH2" s="16">
        <v>66477</v>
      </c>
      <c r="BI2" s="16">
        <v>66842</v>
      </c>
      <c r="BJ2" s="16">
        <v>67207</v>
      </c>
      <c r="BK2" s="16">
        <v>67573</v>
      </c>
    </row>
    <row r="3" spans="2:63" x14ac:dyDescent="0.25">
      <c r="B3" s="4" t="s">
        <v>304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  <c r="AG3" s="4" t="s">
        <v>1</v>
      </c>
      <c r="AH3" s="4" t="s">
        <v>1</v>
      </c>
      <c r="AI3" s="4" t="s">
        <v>1</v>
      </c>
      <c r="AJ3" s="4" t="s">
        <v>1</v>
      </c>
      <c r="AK3" s="4" t="s">
        <v>1</v>
      </c>
      <c r="AL3" s="4" t="s">
        <v>1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  <c r="BB3" s="4" t="s">
        <v>1</v>
      </c>
      <c r="BC3" s="4" t="s">
        <v>1</v>
      </c>
      <c r="BD3" s="4" t="s">
        <v>1</v>
      </c>
      <c r="BE3" s="4" t="s">
        <v>1</v>
      </c>
      <c r="BF3" s="4" t="s">
        <v>1</v>
      </c>
      <c r="BG3" s="4" t="s">
        <v>1</v>
      </c>
      <c r="BH3" s="4" t="s">
        <v>1</v>
      </c>
      <c r="BI3" s="4" t="s">
        <v>1</v>
      </c>
      <c r="BJ3" s="4" t="s">
        <v>1</v>
      </c>
      <c r="BK3" s="4" t="s">
        <v>1</v>
      </c>
    </row>
    <row r="4" spans="2:63" x14ac:dyDescent="0.25">
      <c r="B4" s="2" t="s">
        <v>305</v>
      </c>
      <c r="C4" s="6">
        <f>XNPV(INPUT!$C$4/100,WEB_CF!$M$2:$M$14,WEB_CF!$O$2:$O$14)*1000</f>
        <v>-119394.11707730946</v>
      </c>
    </row>
    <row r="5" spans="2:63" x14ac:dyDescent="0.25">
      <c r="B5" s="2" t="s">
        <v>17</v>
      </c>
      <c r="C5" s="8">
        <f>XIRR(WEB_CF!$M$2:$M$14,WEB_CF!$O$2:$O$14)</f>
        <v>2.9697567224502563E-3</v>
      </c>
    </row>
    <row r="6" spans="2:63" x14ac:dyDescent="0.25">
      <c r="B6" s="2" t="s">
        <v>18</v>
      </c>
      <c r="C6" s="8">
        <f>XIRR(WEB_CF!$L$2:$L$14,WEB_CF!$O$2:$O$14)</f>
        <v>2.3980528116226201E-3</v>
      </c>
    </row>
    <row r="7" spans="2:63" x14ac:dyDescent="0.25">
      <c r="B7" s="2" t="s">
        <v>306</v>
      </c>
      <c r="C7" s="6">
        <f>WEB_RESULT!$B$13*1000</f>
        <v>-118893.34840629071</v>
      </c>
    </row>
    <row r="8" spans="2:63" x14ac:dyDescent="0.25">
      <c r="B8" s="2" t="s">
        <v>21</v>
      </c>
      <c r="C8" s="6">
        <f>$C$154-$C$155</f>
        <v>12888964414.072704</v>
      </c>
    </row>
    <row r="9" spans="2:63" x14ac:dyDescent="0.25">
      <c r="B9" s="2" t="s">
        <v>22</v>
      </c>
      <c r="C9" s="6">
        <f>$C$115+$C$144</f>
        <v>1231766031403.9998</v>
      </c>
    </row>
    <row r="10" spans="2:63" x14ac:dyDescent="0.25">
      <c r="B10" s="4" t="s">
        <v>307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4" t="s">
        <v>1</v>
      </c>
      <c r="AU10" s="4" t="s">
        <v>1</v>
      </c>
      <c r="AV10" s="4" t="s">
        <v>1</v>
      </c>
      <c r="AW10" s="4" t="s">
        <v>1</v>
      </c>
      <c r="AX10" s="4" t="s">
        <v>1</v>
      </c>
      <c r="AY10" s="4" t="s">
        <v>1</v>
      </c>
      <c r="AZ10" s="4" t="s">
        <v>1</v>
      </c>
      <c r="BA10" s="4" t="s">
        <v>1</v>
      </c>
      <c r="BB10" s="4" t="s">
        <v>1</v>
      </c>
      <c r="BC10" s="4" t="s">
        <v>1</v>
      </c>
      <c r="BD10" s="4" t="s">
        <v>1</v>
      </c>
      <c r="BE10" s="4" t="s">
        <v>1</v>
      </c>
      <c r="BF10" s="4" t="s">
        <v>1</v>
      </c>
      <c r="BG10" s="4" t="s">
        <v>1</v>
      </c>
      <c r="BH10" s="4" t="s">
        <v>1</v>
      </c>
      <c r="BI10" s="4" t="s">
        <v>1</v>
      </c>
      <c r="BJ10" s="4" t="s">
        <v>1</v>
      </c>
      <c r="BK10" s="4" t="s">
        <v>1</v>
      </c>
    </row>
    <row r="11" spans="2:63" x14ac:dyDescent="0.25">
      <c r="B11" s="1" t="s">
        <v>308</v>
      </c>
      <c r="C11" s="6">
        <f t="shared" ref="C11:C32" si="0">SUM(D11:BK11)</f>
        <v>1481705816250</v>
      </c>
      <c r="D11" s="6">
        <f>SUM(D37:D49)+IF(AND(D34&gt;0,SUM(TIENDO!$C$20:$O$20)&lt;0.0001),D34,0)+IF(AND(D35&gt;0,SUM(TIENDO!$C$36:$O$36)&lt;0.0001),D35,0)</f>
        <v>0</v>
      </c>
      <c r="E11" s="6">
        <f>SUM(E37:E49)+IF(AND(E34&gt;0,SUM(TIENDO!$C$21:$O$21)&lt;0.0001),E34,0)+IF(AND(E35&gt;0,SUM(TIENDO!$C$37:$O$37)&lt;0.0001),E35,0)</f>
        <v>0</v>
      </c>
      <c r="F11" s="6">
        <f>SUM(F37:F49)+IF(AND(F34&gt;0,SUM(TIENDO!$C$22:$O$22)&lt;0.0001),F34,0)+IF(AND(F35&gt;0,SUM(TIENDO!$C$38:$O$38)&lt;0.0001),F35,0)</f>
        <v>170883900000</v>
      </c>
      <c r="G11" s="6">
        <f>SUM(G37:G49)+IF(AND(G34&gt;0,SUM(TIENDO!$C$23:$O$23)&lt;0.0001),G34,0)+IF(AND(G35&gt;0,SUM(TIENDO!$C$39:$O$39)&lt;0.0001),G35,0)</f>
        <v>938437417500</v>
      </c>
      <c r="H11" s="6">
        <f>SUM(H37:H49)+IF(AND(H34&gt;0,SUM(TIENDO!$C$24:$O$24)&lt;0.0001),H34,0)+IF(AND(H35&gt;0,SUM(TIENDO!$C$40:$O$40)&lt;0.0001),H35,0)</f>
        <v>372384498750</v>
      </c>
      <c r="I11" s="6">
        <f>SUM(I37:I49)+IF(AND(I34&gt;0,SUM(TIENDO!$C$25:$O$25)&lt;0.0001),I34,0)+IF(AND(I35&gt;0,SUM(TIENDO!$C$41:$O$41)&lt;0.0001),I35,0)</f>
        <v>0</v>
      </c>
      <c r="J11" s="6">
        <f>SUM(J37:J49)+IF(AND(J34&gt;0,SUM(TIENDO!$C$26:$O$26)&lt;0.0001),J34,0)+IF(AND(J35&gt;0,SUM(TIENDO!$C$42:$O$42)&lt;0.0001),J35,0)</f>
        <v>0</v>
      </c>
      <c r="K11" s="6">
        <f>SUM(K37:K49)+IF(AND(K34&gt;0,SUM(TIENDO!$C$27:$O$27)&lt;0.0001),K34,0)+IF(AND(K35&gt;0,SUM(TIENDO!$C$43:$O$43)&lt;0.0001),K35,0)</f>
        <v>0</v>
      </c>
      <c r="L11" s="6">
        <f>SUM(L37:L49)+IF(AND(L34&gt;0,SUM(TIENDO!$C$28:$O$28)&lt;0.0001),L34,0)+IF(AND(L35&gt;0,SUM(TIENDO!$C$44:$O$44)&lt;0.0001),L35,0)</f>
        <v>0</v>
      </c>
      <c r="M11" s="6">
        <f>SUM(M37:M49)+IF(AND(M34&gt;0,SUM(TIENDO!$C$29:$O$29)&lt;0.0001),M34,0)+IF(AND(M35&gt;0,SUM(TIENDO!$C$45:$O$45)&lt;0.0001),M35,0)</f>
        <v>0</v>
      </c>
      <c r="N11" s="6">
        <f>SUM(N37:N49)+IF(AND(N34&gt;0,SUM(TIENDO!$C$30:$O$30)&lt;0.0001),N34,0)+IF(AND(N35&gt;0,SUM(TIENDO!$C$46:$O$46)&lt;0.0001),N35,0)</f>
        <v>0</v>
      </c>
      <c r="O11" s="6">
        <f>SUM(O37:O49)+IF(AND(O34&gt;0,SUM(TIENDO!$C$31:$O$31)&lt;0.0001),O34,0)+IF(AND(O35&gt;0,SUM(TIENDO!$C$47:$O$47)&lt;0.0001),O35,0)</f>
        <v>0</v>
      </c>
      <c r="P11" s="6">
        <f>SUM(P37:P49)+IF(AND(P34&gt;0,SUM(TIENDO!$C$32:$O$32)&lt;0.0001),P34,0)+IF(AND(P35&gt;0,SUM(TIENDO!$C$48:$O$48)&lt;0.0001),P35,0)</f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</row>
    <row r="12" spans="2:63" x14ac:dyDescent="0.25">
      <c r="B12" s="1" t="s">
        <v>309</v>
      </c>
      <c r="C12" s="6">
        <f t="shared" si="0"/>
        <v>0</v>
      </c>
      <c r="D12" s="6">
        <f t="shared" ref="D12:AI12" si="1">D56+D57+D58</f>
        <v>0</v>
      </c>
      <c r="E12" s="6">
        <f t="shared" si="1"/>
        <v>0</v>
      </c>
      <c r="F12" s="6">
        <f t="shared" si="1"/>
        <v>0</v>
      </c>
      <c r="G12" s="6">
        <f t="shared" si="1"/>
        <v>0</v>
      </c>
      <c r="H12" s="6">
        <f t="shared" si="1"/>
        <v>0</v>
      </c>
      <c r="I12" s="6">
        <f t="shared" si="1"/>
        <v>0</v>
      </c>
      <c r="J12" s="6">
        <f t="shared" si="1"/>
        <v>0</v>
      </c>
      <c r="K12" s="6">
        <f t="shared" si="1"/>
        <v>0</v>
      </c>
      <c r="L12" s="6">
        <f t="shared" si="1"/>
        <v>0</v>
      </c>
      <c r="M12" s="6">
        <f t="shared" si="1"/>
        <v>0</v>
      </c>
      <c r="N12" s="6">
        <f t="shared" si="1"/>
        <v>0</v>
      </c>
      <c r="O12" s="6">
        <f t="shared" si="1"/>
        <v>0</v>
      </c>
      <c r="P12" s="6">
        <f t="shared" si="1"/>
        <v>0</v>
      </c>
      <c r="Q12" s="6">
        <f t="shared" si="1"/>
        <v>0</v>
      </c>
      <c r="R12" s="6">
        <f t="shared" si="1"/>
        <v>0</v>
      </c>
      <c r="S12" s="6">
        <f t="shared" si="1"/>
        <v>0</v>
      </c>
      <c r="T12" s="6">
        <f t="shared" si="1"/>
        <v>0</v>
      </c>
      <c r="U12" s="6">
        <f t="shared" si="1"/>
        <v>0</v>
      </c>
      <c r="V12" s="6">
        <f t="shared" si="1"/>
        <v>0</v>
      </c>
      <c r="W12" s="6">
        <f t="shared" si="1"/>
        <v>0</v>
      </c>
      <c r="X12" s="6">
        <f t="shared" si="1"/>
        <v>0</v>
      </c>
      <c r="Y12" s="6">
        <f t="shared" si="1"/>
        <v>0</v>
      </c>
      <c r="Z12" s="6">
        <f t="shared" si="1"/>
        <v>0</v>
      </c>
      <c r="AA12" s="6">
        <f t="shared" si="1"/>
        <v>0</v>
      </c>
      <c r="AB12" s="6">
        <f t="shared" si="1"/>
        <v>0</v>
      </c>
      <c r="AC12" s="6">
        <f t="shared" si="1"/>
        <v>0</v>
      </c>
      <c r="AD12" s="6">
        <f t="shared" si="1"/>
        <v>0</v>
      </c>
      <c r="AE12" s="6">
        <f t="shared" si="1"/>
        <v>0</v>
      </c>
      <c r="AF12" s="6">
        <f t="shared" si="1"/>
        <v>0</v>
      </c>
      <c r="AG12" s="6">
        <f t="shared" si="1"/>
        <v>0</v>
      </c>
      <c r="AH12" s="6">
        <f t="shared" si="1"/>
        <v>0</v>
      </c>
      <c r="AI12" s="6">
        <f t="shared" si="1"/>
        <v>0</v>
      </c>
      <c r="AJ12" s="6">
        <f t="shared" ref="AJ12:BK12" si="2">AJ56+AJ57+AJ58</f>
        <v>0</v>
      </c>
      <c r="AK12" s="6">
        <f t="shared" si="2"/>
        <v>0</v>
      </c>
      <c r="AL12" s="6">
        <f t="shared" si="2"/>
        <v>0</v>
      </c>
      <c r="AM12" s="6">
        <f t="shared" si="2"/>
        <v>0</v>
      </c>
      <c r="AN12" s="6">
        <f t="shared" si="2"/>
        <v>0</v>
      </c>
      <c r="AO12" s="6">
        <f t="shared" si="2"/>
        <v>0</v>
      </c>
      <c r="AP12" s="6">
        <f t="shared" si="2"/>
        <v>0</v>
      </c>
      <c r="AQ12" s="6">
        <f t="shared" si="2"/>
        <v>0</v>
      </c>
      <c r="AR12" s="6">
        <f t="shared" si="2"/>
        <v>0</v>
      </c>
      <c r="AS12" s="6">
        <f t="shared" si="2"/>
        <v>0</v>
      </c>
      <c r="AT12" s="6">
        <f t="shared" si="2"/>
        <v>0</v>
      </c>
      <c r="AU12" s="6">
        <f t="shared" si="2"/>
        <v>0</v>
      </c>
      <c r="AV12" s="6">
        <f t="shared" si="2"/>
        <v>0</v>
      </c>
      <c r="AW12" s="6">
        <f t="shared" si="2"/>
        <v>0</v>
      </c>
      <c r="AX12" s="6">
        <f t="shared" si="2"/>
        <v>0</v>
      </c>
      <c r="AY12" s="6">
        <f t="shared" si="2"/>
        <v>0</v>
      </c>
      <c r="AZ12" s="6">
        <f t="shared" si="2"/>
        <v>0</v>
      </c>
      <c r="BA12" s="6">
        <f t="shared" si="2"/>
        <v>0</v>
      </c>
      <c r="BB12" s="6">
        <f t="shared" si="2"/>
        <v>0</v>
      </c>
      <c r="BC12" s="6">
        <f t="shared" si="2"/>
        <v>0</v>
      </c>
      <c r="BD12" s="6">
        <f t="shared" si="2"/>
        <v>0</v>
      </c>
      <c r="BE12" s="6">
        <f t="shared" si="2"/>
        <v>0</v>
      </c>
      <c r="BF12" s="6">
        <f t="shared" si="2"/>
        <v>0</v>
      </c>
      <c r="BG12" s="6">
        <f t="shared" si="2"/>
        <v>0</v>
      </c>
      <c r="BH12" s="6">
        <f t="shared" si="2"/>
        <v>0</v>
      </c>
      <c r="BI12" s="6">
        <f t="shared" si="2"/>
        <v>0</v>
      </c>
      <c r="BJ12" s="6">
        <f t="shared" si="2"/>
        <v>0</v>
      </c>
      <c r="BK12" s="6">
        <f t="shared" si="2"/>
        <v>0</v>
      </c>
    </row>
    <row r="13" spans="2:63" x14ac:dyDescent="0.25">
      <c r="B13" s="1" t="s">
        <v>310</v>
      </c>
      <c r="C13" s="6">
        <f t="shared" si="0"/>
        <v>1192835671250</v>
      </c>
      <c r="D13" s="6">
        <f t="shared" ref="D13:P13" si="3">D14+D15+D16+D17</f>
        <v>200000000000</v>
      </c>
      <c r="E13" s="6">
        <f t="shared" si="3"/>
        <v>215000000000</v>
      </c>
      <c r="F13" s="6">
        <f t="shared" si="3"/>
        <v>478456668500</v>
      </c>
      <c r="G13" s="6">
        <f t="shared" si="3"/>
        <v>236882835625</v>
      </c>
      <c r="H13" s="6">
        <f t="shared" si="3"/>
        <v>62496167125</v>
      </c>
      <c r="I13" s="6">
        <f t="shared" si="3"/>
        <v>0</v>
      </c>
      <c r="J13" s="6">
        <f t="shared" si="3"/>
        <v>0</v>
      </c>
      <c r="K13" s="6">
        <f t="shared" si="3"/>
        <v>0</v>
      </c>
      <c r="L13" s="6">
        <f t="shared" si="3"/>
        <v>0</v>
      </c>
      <c r="M13" s="6">
        <f t="shared" si="3"/>
        <v>0</v>
      </c>
      <c r="N13" s="6">
        <f t="shared" si="3"/>
        <v>0</v>
      </c>
      <c r="O13" s="6">
        <f t="shared" si="3"/>
        <v>0</v>
      </c>
      <c r="P13" s="6">
        <f t="shared" si="3"/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</row>
    <row r="14" spans="2:63" x14ac:dyDescent="0.25">
      <c r="B14" s="1" t="s">
        <v>311</v>
      </c>
      <c r="C14" s="6">
        <f t="shared" si="0"/>
        <v>400000000000</v>
      </c>
      <c r="D14" s="6">
        <f>$C$124*(1-$C$106)*TIENDO!C3/100+$C$125*(1-$C$106)*TIENDO!C4/100</f>
        <v>200000000000</v>
      </c>
      <c r="E14" s="6">
        <f>$C$124*(1-$C$106)*TIENDO!D3/100+$C$125*(1-$C$106)*TIENDO!D4/100</f>
        <v>200000000000</v>
      </c>
      <c r="F14" s="6">
        <f>$C$124*(1-$C$106)*TIENDO!E3/100+$C$125*(1-$C$106)*TIENDO!E4/100</f>
        <v>0</v>
      </c>
      <c r="G14" s="6">
        <f>$C$124*(1-$C$106)*TIENDO!F3/100+$C$125*(1-$C$106)*TIENDO!F4/100</f>
        <v>0</v>
      </c>
      <c r="H14" s="6">
        <f>$C$124*(1-$C$106)*TIENDO!G3/100+$C$125*(1-$C$106)*TIENDO!G4/100</f>
        <v>0</v>
      </c>
      <c r="I14" s="6">
        <f>$C$124*(1-$C$106)*TIENDO!H3/100+$C$125*(1-$C$106)*TIENDO!H4/100</f>
        <v>0</v>
      </c>
      <c r="J14" s="6">
        <f>$C$124*(1-$C$106)*TIENDO!I3/100+$C$125*(1-$C$106)*TIENDO!I4/100</f>
        <v>0</v>
      </c>
      <c r="K14" s="6">
        <f>$C$124*(1-$C$106)*TIENDO!J3/100+$C$125*(1-$C$106)*TIENDO!J4/100</f>
        <v>0</v>
      </c>
      <c r="L14" s="6">
        <f>$C$124*(1-$C$106)*TIENDO!K3/100+$C$125*(1-$C$106)*TIENDO!K4/100</f>
        <v>0</v>
      </c>
      <c r="M14" s="6">
        <f>$C$124*(1-$C$106)*TIENDO!L3/100+$C$125*(1-$C$106)*TIENDO!L4/100</f>
        <v>0</v>
      </c>
      <c r="N14" s="6">
        <f>$C$124*(1-$C$106)*TIENDO!M3/100+$C$125*(1-$C$106)*TIENDO!M4/100</f>
        <v>0</v>
      </c>
      <c r="O14" s="6">
        <f>$C$124*(1-$C$106)*TIENDO!N3/100+$C$125*(1-$C$106)*TIENDO!N4/100</f>
        <v>0</v>
      </c>
      <c r="P14" s="6">
        <f>$C$124*(1-$C$106)*TIENDO!O3/100+$C$125*(1-$C$106)*TIENDO!O4/100</f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</row>
    <row r="15" spans="2:63" x14ac:dyDescent="0.25">
      <c r="B15" s="1" t="s">
        <v>312</v>
      </c>
      <c r="C15" s="6">
        <f t="shared" si="0"/>
        <v>289070000000</v>
      </c>
      <c r="D15" s="6">
        <f>$C$126*(1-$C$106)*TIENDO!C5/100</f>
        <v>0</v>
      </c>
      <c r="E15" s="6">
        <f>$C$126*(1-$C$106)*TIENDO!D5/100</f>
        <v>0</v>
      </c>
      <c r="F15" s="6">
        <f>$C$126*(1-$C$106)*TIENDO!E5/100</f>
        <v>289070000000</v>
      </c>
      <c r="G15" s="6">
        <f>$C$126*(1-$C$106)*TIENDO!F5/100</f>
        <v>0</v>
      </c>
      <c r="H15" s="6">
        <f>$C$126*(1-$C$106)*TIENDO!G5/100</f>
        <v>0</v>
      </c>
      <c r="I15" s="6">
        <f>$C$126*(1-$C$106)*TIENDO!H5/100</f>
        <v>0</v>
      </c>
      <c r="J15" s="6">
        <f>$C$126*(1-$C$106)*TIENDO!I5/100</f>
        <v>0</v>
      </c>
      <c r="K15" s="6">
        <f>$C$126*(1-$C$106)*TIENDO!J5/100</f>
        <v>0</v>
      </c>
      <c r="L15" s="6">
        <f>$C$126*(1-$C$106)*TIENDO!K5/100</f>
        <v>0</v>
      </c>
      <c r="M15" s="6">
        <f>$C$126*(1-$C$106)*TIENDO!L5/100</f>
        <v>0</v>
      </c>
      <c r="N15" s="6">
        <f>$C$126*(1-$C$106)*TIENDO!M5/100</f>
        <v>0</v>
      </c>
      <c r="O15" s="6">
        <f>$C$126*(1-$C$106)*TIENDO!N5/100</f>
        <v>0</v>
      </c>
      <c r="P15" s="6">
        <f>$C$126*(1-$C$106)*TIENDO!O5/100</f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</row>
    <row r="16" spans="2:63" x14ac:dyDescent="0.25">
      <c r="B16" s="1" t="s">
        <v>313</v>
      </c>
      <c r="C16" s="6">
        <f t="shared" si="0"/>
        <v>60000000000</v>
      </c>
      <c r="D16" s="6">
        <f>$C$127*(1-$C$106)*TIENDO!C6/100</f>
        <v>0</v>
      </c>
      <c r="E16" s="6">
        <f>$C$127*(1-$C$106)*TIENDO!D6/100</f>
        <v>15000000000</v>
      </c>
      <c r="F16" s="6">
        <f>$C$127*(1-$C$106)*TIENDO!E6/100</f>
        <v>15000000000</v>
      </c>
      <c r="G16" s="6">
        <f>$C$127*(1-$C$106)*TIENDO!F6/100</f>
        <v>15000000000</v>
      </c>
      <c r="H16" s="6">
        <f>$C$127*(1-$C$106)*TIENDO!G6/100</f>
        <v>15000000000</v>
      </c>
      <c r="I16" s="6">
        <f>$C$127*(1-$C$106)*TIENDO!H6/100</f>
        <v>0</v>
      </c>
      <c r="J16" s="6">
        <f>$C$127*(1-$C$106)*TIENDO!I6/100</f>
        <v>0</v>
      </c>
      <c r="K16" s="6">
        <f>$C$127*(1-$C$106)*TIENDO!J6/100</f>
        <v>0</v>
      </c>
      <c r="L16" s="6">
        <f>$C$127*(1-$C$106)*TIENDO!K6/100</f>
        <v>0</v>
      </c>
      <c r="M16" s="6">
        <f>$C$127*(1-$C$106)*TIENDO!L6/100</f>
        <v>0</v>
      </c>
      <c r="N16" s="6">
        <f>$C$127*(1-$C$106)*TIENDO!M6/100</f>
        <v>0</v>
      </c>
      <c r="O16" s="6">
        <f>$C$127*(1-$C$106)*TIENDO!N6/100</f>
        <v>0</v>
      </c>
      <c r="P16" s="6">
        <f>$C$127*(1-$C$106)*TIENDO!O6/100</f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</row>
    <row r="17" spans="2:63" x14ac:dyDescent="0.25">
      <c r="B17" s="1" t="s">
        <v>314</v>
      </c>
      <c r="C17" s="6">
        <f t="shared" si="0"/>
        <v>443765671250</v>
      </c>
      <c r="D17" s="6">
        <f>$C$128*(1-$C$106)*TIENDO!C7/100+$C$129*1*TIENDO!C8/100+$C$131*(1-$C$105)*TIENDO!C10/100+$C$132*(1-$C$105)*TIENDO!C11/100</f>
        <v>0</v>
      </c>
      <c r="E17" s="6">
        <f>$C$128*(1-$C$106)*TIENDO!D7/100+$C$129*1*TIENDO!D8/100+$C$131*(1-$C$105)*TIENDO!D10/100+$C$132*(1-$C$105)*TIENDO!D11/100</f>
        <v>0</v>
      </c>
      <c r="F17" s="6">
        <f>$C$128*(1-$C$106)*TIENDO!E7/100+$C$129*1*TIENDO!E8/100+$C$131*(1-$C$105)*TIENDO!E10/100+$C$132*(1-$C$105)*TIENDO!E11/100</f>
        <v>174386668500</v>
      </c>
      <c r="G17" s="6">
        <f>$C$128*(1-$C$106)*TIENDO!F7/100+$C$129*1*TIENDO!F8/100+$C$131*(1-$C$105)*TIENDO!F10/100+$C$132*(1-$C$105)*TIENDO!F11/100</f>
        <v>221882835625</v>
      </c>
      <c r="H17" s="6">
        <f>$C$128*(1-$C$106)*TIENDO!G7/100+$C$129*1*TIENDO!G8/100+$C$131*(1-$C$105)*TIENDO!G10/100+$C$132*(1-$C$105)*TIENDO!G11/100</f>
        <v>47496167125</v>
      </c>
      <c r="I17" s="6">
        <f>$C$128*(1-$C$106)*TIENDO!H7/100+$C$129*1*TIENDO!H8/100+$C$131*(1-$C$105)*TIENDO!H10/100+$C$132*(1-$C$105)*TIENDO!H11/100</f>
        <v>0</v>
      </c>
      <c r="J17" s="6">
        <f>$C$128*(1-$C$106)*TIENDO!I7/100+$C$129*1*TIENDO!I8/100+$C$131*(1-$C$105)*TIENDO!I10/100+$C$132*(1-$C$105)*TIENDO!I11/100</f>
        <v>0</v>
      </c>
      <c r="K17" s="6">
        <f>$C$128*(1-$C$106)*TIENDO!J7/100+$C$129*1*TIENDO!J8/100+$C$131*(1-$C$105)*TIENDO!J10/100+$C$132*(1-$C$105)*TIENDO!J11/100</f>
        <v>0</v>
      </c>
      <c r="L17" s="6">
        <f>$C$128*(1-$C$106)*TIENDO!K7/100+$C$129*1*TIENDO!K8/100+$C$131*(1-$C$105)*TIENDO!K10/100+$C$132*(1-$C$105)*TIENDO!K11/100</f>
        <v>0</v>
      </c>
      <c r="M17" s="6">
        <f>$C$128*(1-$C$106)*TIENDO!L7/100+$C$129*1*TIENDO!L8/100+$C$131*(1-$C$105)*TIENDO!L10/100+$C$132*(1-$C$105)*TIENDO!L11/100</f>
        <v>0</v>
      </c>
      <c r="N17" s="6">
        <f>$C$128*(1-$C$106)*TIENDO!M7/100+$C$129*1*TIENDO!M8/100+$C$131*(1-$C$105)*TIENDO!M10/100+$C$132*(1-$C$105)*TIENDO!M11/100</f>
        <v>0</v>
      </c>
      <c r="O17" s="6">
        <f>$C$128*(1-$C$106)*TIENDO!N7/100+$C$129*1*TIENDO!N8/100+$C$131*(1-$C$105)*TIENDO!N10/100+$C$132*(1-$C$105)*TIENDO!N11/100</f>
        <v>0</v>
      </c>
      <c r="P17" s="6">
        <f>$C$128*(1-$C$106)*TIENDO!O7/100+$C$129*1*TIENDO!O8/100+$C$131*(1-$C$105)*TIENDO!O10/100+$C$132*(1-$C$105)*TIENDO!O11/100</f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</row>
    <row r="18" spans="2:63" x14ac:dyDescent="0.25">
      <c r="B18" s="1" t="s">
        <v>315</v>
      </c>
      <c r="C18" s="6">
        <f t="shared" si="0"/>
        <v>251889988762.5</v>
      </c>
      <c r="D18" s="6">
        <f>D36*(INPUT!$C$118+INPUT!$C$119+INPUT!$C$120+INPUT!$C$121+INPUT!$C$123+INPUT!$C$124)/100+D11*INPUT!$C$122/100</f>
        <v>0</v>
      </c>
      <c r="E18" s="6">
        <f>E36*(INPUT!$C$118+INPUT!$C$119+INPUT!$C$120+INPUT!$C$121+INPUT!$C$123+INPUT!$C$124)/100+E11*INPUT!$C$122/100</f>
        <v>0</v>
      </c>
      <c r="F18" s="6">
        <f>F36*(INPUT!$C$118+INPUT!$C$119+INPUT!$C$120+INPUT!$C$121+INPUT!$C$123+INPUT!$C$124)/100+F11*INPUT!$C$122/100</f>
        <v>96036751800</v>
      </c>
      <c r="G18" s="6">
        <f>G36*(INPUT!$C$118+INPUT!$C$119+INPUT!$C$120+INPUT!$C$121+INPUT!$C$123+INPUT!$C$124)/100+G11*INPUT!$C$122/100</f>
        <v>102356608035</v>
      </c>
      <c r="H18" s="6">
        <f>H36*(INPUT!$C$118+INPUT!$C$119+INPUT!$C$120+INPUT!$C$121+INPUT!$C$123+INPUT!$C$124)/100+H11*INPUT!$C$122/100</f>
        <v>53496628927.5</v>
      </c>
      <c r="I18" s="6">
        <f>I36*(INPUT!$C$118+INPUT!$C$119+INPUT!$C$120+INPUT!$C$121+INPUT!$C$123+INPUT!$C$124)/100+I11*INPUT!$C$122/100</f>
        <v>0</v>
      </c>
      <c r="J18" s="6">
        <f>J36*(INPUT!$C$118+INPUT!$C$119+INPUT!$C$120+INPUT!$C$121+INPUT!$C$123+INPUT!$C$124)/100+J11*INPUT!$C$122/100</f>
        <v>0</v>
      </c>
      <c r="K18" s="6">
        <f>K36*(INPUT!$C$118+INPUT!$C$119+INPUT!$C$120+INPUT!$C$121+INPUT!$C$123+INPUT!$C$124)/100+K11*INPUT!$C$122/100</f>
        <v>0</v>
      </c>
      <c r="L18" s="6">
        <f>L36*(INPUT!$C$118+INPUT!$C$119+INPUT!$C$120+INPUT!$C$121+INPUT!$C$123+INPUT!$C$124)/100+L11*INPUT!$C$122/100</f>
        <v>0</v>
      </c>
      <c r="M18" s="6">
        <f>M36*(INPUT!$C$118+INPUT!$C$119+INPUT!$C$120+INPUT!$C$121+INPUT!$C$123+INPUT!$C$124)/100+M11*INPUT!$C$122/100</f>
        <v>0</v>
      </c>
      <c r="N18" s="6">
        <f>N36*(INPUT!$C$118+INPUT!$C$119+INPUT!$C$120+INPUT!$C$121+INPUT!$C$123+INPUT!$C$124)/100+N11*INPUT!$C$122/100</f>
        <v>0</v>
      </c>
      <c r="O18" s="6">
        <f>O36*(INPUT!$C$118+INPUT!$C$119+INPUT!$C$120+INPUT!$C$121+INPUT!$C$123+INPUT!$C$124)/100+O11*INPUT!$C$122/100</f>
        <v>0</v>
      </c>
      <c r="P18" s="6">
        <f>P36*(INPUT!$C$118+INPUT!$C$119+INPUT!$C$120+INPUT!$C$121+INPUT!$C$123+INPUT!$C$124)/100+P11*INPUT!$C$122/100</f>
        <v>0</v>
      </c>
      <c r="Q18" s="6">
        <f>Q36*(INPUT!$C$118+INPUT!$C$119+INPUT!$C$120+INPUT!$C$121+INPUT!$C$123+INPUT!$C$124)/100+Q11*INPUT!$C$122/100</f>
        <v>0</v>
      </c>
      <c r="R18" s="6">
        <f>R36*(INPUT!$C$118+INPUT!$C$119+INPUT!$C$120+INPUT!$C$121+INPUT!$C$123+INPUT!$C$124)/100+R11*INPUT!$C$122/100</f>
        <v>0</v>
      </c>
      <c r="S18" s="6">
        <f>S36*(INPUT!$C$118+INPUT!$C$119+INPUT!$C$120+INPUT!$C$121+INPUT!$C$123+INPUT!$C$124)/100+S11*INPUT!$C$122/100</f>
        <v>0</v>
      </c>
      <c r="T18" s="6">
        <f>T36*(INPUT!$C$118+INPUT!$C$119+INPUT!$C$120+INPUT!$C$121+INPUT!$C$123+INPUT!$C$124)/100+T11*INPUT!$C$122/100</f>
        <v>0</v>
      </c>
      <c r="U18" s="6">
        <f>U36*(INPUT!$C$118+INPUT!$C$119+INPUT!$C$120+INPUT!$C$121+INPUT!$C$123+INPUT!$C$124)/100+U11*INPUT!$C$122/100</f>
        <v>0</v>
      </c>
      <c r="V18" s="6">
        <f>V36*(INPUT!$C$118+INPUT!$C$119+INPUT!$C$120+INPUT!$C$121+INPUT!$C$123+INPUT!$C$124)/100+V11*INPUT!$C$122/100</f>
        <v>0</v>
      </c>
      <c r="W18" s="6">
        <f>W36*(INPUT!$C$118+INPUT!$C$119+INPUT!$C$120+INPUT!$C$121+INPUT!$C$123+INPUT!$C$124)/100+W11*INPUT!$C$122/100</f>
        <v>0</v>
      </c>
      <c r="X18" s="6">
        <f>X36*(INPUT!$C$118+INPUT!$C$119+INPUT!$C$120+INPUT!$C$121+INPUT!$C$123+INPUT!$C$124)/100+X11*INPUT!$C$122/100</f>
        <v>0</v>
      </c>
      <c r="Y18" s="6">
        <f>Y36*(INPUT!$C$118+INPUT!$C$119+INPUT!$C$120+INPUT!$C$121+INPUT!$C$123+INPUT!$C$124)/100+Y11*INPUT!$C$122/100</f>
        <v>0</v>
      </c>
      <c r="Z18" s="6">
        <f>Z36*(INPUT!$C$118+INPUT!$C$119+INPUT!$C$120+INPUT!$C$121+INPUT!$C$123+INPUT!$C$124)/100+Z11*INPUT!$C$122/100</f>
        <v>0</v>
      </c>
      <c r="AA18" s="6">
        <f>AA36*(INPUT!$C$118+INPUT!$C$119+INPUT!$C$120+INPUT!$C$121+INPUT!$C$123+INPUT!$C$124)/100+AA11*INPUT!$C$122/100</f>
        <v>0</v>
      </c>
      <c r="AB18" s="6">
        <f>AB36*(INPUT!$C$118+INPUT!$C$119+INPUT!$C$120+INPUT!$C$121+INPUT!$C$123+INPUT!$C$124)/100+AB11*INPUT!$C$122/100</f>
        <v>0</v>
      </c>
      <c r="AC18" s="6">
        <f>AC36*(INPUT!$C$118+INPUT!$C$119+INPUT!$C$120+INPUT!$C$121+INPUT!$C$123+INPUT!$C$124)/100+AC11*INPUT!$C$122/100</f>
        <v>0</v>
      </c>
      <c r="AD18" s="6">
        <f>AD36*(INPUT!$C$118+INPUT!$C$119+INPUT!$C$120+INPUT!$C$121+INPUT!$C$123+INPUT!$C$124)/100+AD11*INPUT!$C$122/100</f>
        <v>0</v>
      </c>
      <c r="AE18" s="6">
        <f>AE36*(INPUT!$C$118+INPUT!$C$119+INPUT!$C$120+INPUT!$C$121+INPUT!$C$123+INPUT!$C$124)/100+AE11*INPUT!$C$122/100</f>
        <v>0</v>
      </c>
      <c r="AF18" s="6">
        <f>AF36*(INPUT!$C$118+INPUT!$C$119+INPUT!$C$120+INPUT!$C$121+INPUT!$C$123+INPUT!$C$124)/100+AF11*INPUT!$C$122/100</f>
        <v>0</v>
      </c>
      <c r="AG18" s="6">
        <f>AG36*(INPUT!$C$118+INPUT!$C$119+INPUT!$C$120+INPUT!$C$121+INPUT!$C$123+INPUT!$C$124)/100+AG11*INPUT!$C$122/100</f>
        <v>0</v>
      </c>
      <c r="AH18" s="6">
        <f>AH36*(INPUT!$C$118+INPUT!$C$119+INPUT!$C$120+INPUT!$C$121+INPUT!$C$123+INPUT!$C$124)/100+AH11*INPUT!$C$122/100</f>
        <v>0</v>
      </c>
      <c r="AI18" s="6">
        <f>AI36*(INPUT!$C$118+INPUT!$C$119+INPUT!$C$120+INPUT!$C$121+INPUT!$C$123+INPUT!$C$124)/100+AI11*INPUT!$C$122/100</f>
        <v>0</v>
      </c>
      <c r="AJ18" s="6">
        <f>AJ36*(INPUT!$C$118+INPUT!$C$119+INPUT!$C$120+INPUT!$C$121+INPUT!$C$123+INPUT!$C$124)/100+AJ11*INPUT!$C$122/100</f>
        <v>0</v>
      </c>
      <c r="AK18" s="6">
        <f>AK36*(INPUT!$C$118+INPUT!$C$119+INPUT!$C$120+INPUT!$C$121+INPUT!$C$123+INPUT!$C$124)/100+AK11*INPUT!$C$122/100</f>
        <v>0</v>
      </c>
      <c r="AL18" s="6">
        <f>AL36*(INPUT!$C$118+INPUT!$C$119+INPUT!$C$120+INPUT!$C$121+INPUT!$C$123+INPUT!$C$124)/100+AL11*INPUT!$C$122/100</f>
        <v>0</v>
      </c>
      <c r="AM18" s="6">
        <f>AM36*(INPUT!$C$118+INPUT!$C$119+INPUT!$C$120+INPUT!$C$121+INPUT!$C$123+INPUT!$C$124)/100+AM11*INPUT!$C$122/100</f>
        <v>0</v>
      </c>
      <c r="AN18" s="6">
        <f>AN36*(INPUT!$C$118+INPUT!$C$119+INPUT!$C$120+INPUT!$C$121+INPUT!$C$123+INPUT!$C$124)/100+AN11*INPUT!$C$122/100</f>
        <v>0</v>
      </c>
      <c r="AO18" s="6">
        <f>AO36*(INPUT!$C$118+INPUT!$C$119+INPUT!$C$120+INPUT!$C$121+INPUT!$C$123+INPUT!$C$124)/100+AO11*INPUT!$C$122/100</f>
        <v>0</v>
      </c>
      <c r="AP18" s="6">
        <f>AP36*(INPUT!$C$118+INPUT!$C$119+INPUT!$C$120+INPUT!$C$121+INPUT!$C$123+INPUT!$C$124)/100+AP11*INPUT!$C$122/100</f>
        <v>0</v>
      </c>
      <c r="AQ18" s="6">
        <f>AQ36*(INPUT!$C$118+INPUT!$C$119+INPUT!$C$120+INPUT!$C$121+INPUT!$C$123+INPUT!$C$124)/100+AQ11*INPUT!$C$122/100</f>
        <v>0</v>
      </c>
      <c r="AR18" s="6">
        <f>AR36*(INPUT!$C$118+INPUT!$C$119+INPUT!$C$120+INPUT!$C$121+INPUT!$C$123+INPUT!$C$124)/100+AR11*INPUT!$C$122/100</f>
        <v>0</v>
      </c>
      <c r="AS18" s="6">
        <f>AS36*(INPUT!$C$118+INPUT!$C$119+INPUT!$C$120+INPUT!$C$121+INPUT!$C$123+INPUT!$C$124)/100+AS11*INPUT!$C$122/100</f>
        <v>0</v>
      </c>
      <c r="AT18" s="6">
        <f>AT36*(INPUT!$C$118+INPUT!$C$119+INPUT!$C$120+INPUT!$C$121+INPUT!$C$123+INPUT!$C$124)/100+AT11*INPUT!$C$122/100</f>
        <v>0</v>
      </c>
      <c r="AU18" s="6">
        <f>AU36*(INPUT!$C$118+INPUT!$C$119+INPUT!$C$120+INPUT!$C$121+INPUT!$C$123+INPUT!$C$124)/100+AU11*INPUT!$C$122/100</f>
        <v>0</v>
      </c>
      <c r="AV18" s="6">
        <f>AV36*(INPUT!$C$118+INPUT!$C$119+INPUT!$C$120+INPUT!$C$121+INPUT!$C$123+INPUT!$C$124)/100+AV11*INPUT!$C$122/100</f>
        <v>0</v>
      </c>
      <c r="AW18" s="6">
        <f>AW36*(INPUT!$C$118+INPUT!$C$119+INPUT!$C$120+INPUT!$C$121+INPUT!$C$123+INPUT!$C$124)/100+AW11*INPUT!$C$122/100</f>
        <v>0</v>
      </c>
      <c r="AX18" s="6">
        <f>AX36*(INPUT!$C$118+INPUT!$C$119+INPUT!$C$120+INPUT!$C$121+INPUT!$C$123+INPUT!$C$124)/100+AX11*INPUT!$C$122/100</f>
        <v>0</v>
      </c>
      <c r="AY18" s="6">
        <f>AY36*(INPUT!$C$118+INPUT!$C$119+INPUT!$C$120+INPUT!$C$121+INPUT!$C$123+INPUT!$C$124)/100+AY11*INPUT!$C$122/100</f>
        <v>0</v>
      </c>
      <c r="AZ18" s="6">
        <f>AZ36*(INPUT!$C$118+INPUT!$C$119+INPUT!$C$120+INPUT!$C$121+INPUT!$C$123+INPUT!$C$124)/100+AZ11*INPUT!$C$122/100</f>
        <v>0</v>
      </c>
      <c r="BA18" s="6">
        <f>BA36*(INPUT!$C$118+INPUT!$C$119+INPUT!$C$120+INPUT!$C$121+INPUT!$C$123+INPUT!$C$124)/100+BA11*INPUT!$C$122/100</f>
        <v>0</v>
      </c>
      <c r="BB18" s="6">
        <f>BB36*(INPUT!$C$118+INPUT!$C$119+INPUT!$C$120+INPUT!$C$121+INPUT!$C$123+INPUT!$C$124)/100+BB11*INPUT!$C$122/100</f>
        <v>0</v>
      </c>
      <c r="BC18" s="6">
        <f>BC36*(INPUT!$C$118+INPUT!$C$119+INPUT!$C$120+INPUT!$C$121+INPUT!$C$123+INPUT!$C$124)/100+BC11*INPUT!$C$122/100</f>
        <v>0</v>
      </c>
      <c r="BD18" s="6">
        <f>BD36*(INPUT!$C$118+INPUT!$C$119+INPUT!$C$120+INPUT!$C$121+INPUT!$C$123+INPUT!$C$124)/100+BD11*INPUT!$C$122/100</f>
        <v>0</v>
      </c>
      <c r="BE18" s="6">
        <f>BE36*(INPUT!$C$118+INPUT!$C$119+INPUT!$C$120+INPUT!$C$121+INPUT!$C$123+INPUT!$C$124)/100+BE11*INPUT!$C$122/100</f>
        <v>0</v>
      </c>
      <c r="BF18" s="6">
        <f>BF36*(INPUT!$C$118+INPUT!$C$119+INPUT!$C$120+INPUT!$C$121+INPUT!$C$123+INPUT!$C$124)/100+BF11*INPUT!$C$122/100</f>
        <v>0</v>
      </c>
      <c r="BG18" s="6">
        <f>BG36*(INPUT!$C$118+INPUT!$C$119+INPUT!$C$120+INPUT!$C$121+INPUT!$C$123+INPUT!$C$124)/100+BG11*INPUT!$C$122/100</f>
        <v>0</v>
      </c>
      <c r="BH18" s="6">
        <f>BH36*(INPUT!$C$118+INPUT!$C$119+INPUT!$C$120+INPUT!$C$121+INPUT!$C$123+INPUT!$C$124)/100+BH11*INPUT!$C$122/100</f>
        <v>0</v>
      </c>
      <c r="BI18" s="6">
        <f>BI36*(INPUT!$C$118+INPUT!$C$119+INPUT!$C$120+INPUT!$C$121+INPUT!$C$123+INPUT!$C$124)/100+BI11*INPUT!$C$122/100</f>
        <v>0</v>
      </c>
      <c r="BJ18" s="6">
        <f>BJ36*(INPUT!$C$118+INPUT!$C$119+INPUT!$C$120+INPUT!$C$121+INPUT!$C$123+INPUT!$C$124)/100+BJ11*INPUT!$C$122/100</f>
        <v>0</v>
      </c>
      <c r="BK18" s="6">
        <f>BK36*(INPUT!$C$118+INPUT!$C$119+INPUT!$C$120+INPUT!$C$121+INPUT!$C$123+INPUT!$C$124)/100+BK11*INPUT!$C$122/100</f>
        <v>0</v>
      </c>
    </row>
    <row r="19" spans="2:63" x14ac:dyDescent="0.25">
      <c r="B19" s="1" t="s">
        <v>316</v>
      </c>
      <c r="C19" s="6">
        <f t="shared" si="0"/>
        <v>45180014203.409088</v>
      </c>
      <c r="D19" s="6">
        <f>MAX((IF($C$136&gt;0,$C$137*D11/$C$136,0))-((D17+D18)*INPUT!$C$6/(100+INPUT!$C$6))-0,0)</f>
        <v>0</v>
      </c>
      <c r="E19" s="6">
        <f>MAX((IF($C$136&gt;0,$C$137*D11/$C$136,0)+IF($C$136&gt;0,$C$137*E11/$C$136,0))-((D17+D18)*INPUT!$C$6/(100+INPUT!$C$6)+(E17+E18)*INPUT!$C$6/(100+INPUT!$C$6))-SUM(D19:D19),0)</f>
        <v>0</v>
      </c>
      <c r="F19" s="6">
        <f>MAX((IF($C$136&gt;0,$C$137*D11/$C$136,0)+IF($C$136&gt;0,$C$137*E11/$C$136,0)+IF($C$136&gt;0,$C$137*F11/$C$136,0))-((D17+D18)*INPUT!$C$6/(100+INPUT!$C$6)+(E17+E18)*INPUT!$C$6/(100+INPUT!$C$6)+(F17+F18)*INPUT!$C$6/(100+INPUT!$C$6))-SUM(D19:E19),0)</f>
        <v>0</v>
      </c>
      <c r="G19" s="6">
        <f>MAX((IF($C$136&gt;0,$C$137*D11/$C$136,0)+IF($C$136&gt;0,$C$137*E11/$C$136,0)+IF($C$136&gt;0,$C$137*F11/$C$136,0)+IF($C$136&gt;0,$C$137*G11/$C$136,0))-((D17+D18)*INPUT!$C$6/(100+INPUT!$C$6)+(E17+E18)*INPUT!$C$6/(100+INPUT!$C$6)+(F17+F18)*INPUT!$C$6/(100+INPUT!$C$6)+(G17+G18)*INPUT!$C$6/(100+INPUT!$C$6))-SUM(D19:F19),0)</f>
        <v>27112541252.75174</v>
      </c>
      <c r="H19" s="6">
        <f>MAX((IF($C$136&gt;0,$C$137*D11/$C$136,0)+IF($C$136&gt;0,$C$137*E11/$C$136,0)+IF($C$136&gt;0,$C$137*F11/$C$136,0)+IF($C$136&gt;0,$C$137*G11/$C$136,0)+IF($C$136&gt;0,$C$137*H11/$C$136,0))-((D17+D18)*INPUT!$C$6/(100+INPUT!$C$6)+(E17+E18)*INPUT!$C$6/(100+INPUT!$C$6)+(F17+F18)*INPUT!$C$6/(100+INPUT!$C$6)+(G17+G18)*INPUT!$C$6/(100+INPUT!$C$6)+(H17+H18)*INPUT!$C$6/(100+INPUT!$C$6))-SUM(D19:G19),0)</f>
        <v>18067472950.657349</v>
      </c>
      <c r="I19" s="6">
        <f>MAX((IF($C$136&gt;0,$C$137*D11/$C$136,0)+IF($C$136&gt;0,$C$137*E11/$C$136,0)+IF($C$136&gt;0,$C$137*F11/$C$136,0)+IF($C$136&gt;0,$C$137*G11/$C$136,0)+IF($C$136&gt;0,$C$137*H11/$C$136,0)+IF($C$136&gt;0,$C$137*I11/$C$136,0))-((D17+D18)*INPUT!$C$6/(100+INPUT!$C$6)+(E17+E18)*INPUT!$C$6/(100+INPUT!$C$6)+(F17+F18)*INPUT!$C$6/(100+INPUT!$C$6)+(G17+G18)*INPUT!$C$6/(100+INPUT!$C$6)+(H17+H18)*INPUT!$C$6/(100+INPUT!$C$6)+(I17+I18)*INPUT!$C$6/(100+INPUT!$C$6))-SUM(D19:H19),0)</f>
        <v>0</v>
      </c>
      <c r="J19" s="6">
        <f>MAX((IF($C$136&gt;0,$C$137*D11/$C$136,0)+IF($C$136&gt;0,$C$137*E11/$C$136,0)+IF($C$136&gt;0,$C$137*F11/$C$136,0)+IF($C$136&gt;0,$C$137*G11/$C$136,0)+IF($C$136&gt;0,$C$137*H11/$C$136,0)+IF($C$136&gt;0,$C$137*I11/$C$136,0)+IF($C$136&gt;0,$C$137*J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)-SUM(D19:I19),0)</f>
        <v>0</v>
      </c>
      <c r="K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)-SUM(D19:J19),0)</f>
        <v>0</v>
      </c>
      <c r="L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)-SUM(D19:K19),0)</f>
        <v>0</v>
      </c>
      <c r="M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)-SUM(D19:L19),0)</f>
        <v>0</v>
      </c>
      <c r="N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)-SUM(D19:M19),0)</f>
        <v>0</v>
      </c>
      <c r="O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)-SUM(D19:N19),0)</f>
        <v>0</v>
      </c>
      <c r="P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)-SUM(D19:O19),0)</f>
        <v>0</v>
      </c>
      <c r="Q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)-SUM(D19:P19),0)</f>
        <v>0</v>
      </c>
      <c r="R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)-SUM(D19:Q19),0)</f>
        <v>0</v>
      </c>
      <c r="S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)-SUM(D19:R19),0)</f>
        <v>0</v>
      </c>
      <c r="T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)-SUM(D19:S19),0)</f>
        <v>0</v>
      </c>
      <c r="U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)-SUM(D19:T19),0)</f>
        <v>0</v>
      </c>
      <c r="V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)-SUM(D19:U19),0)</f>
        <v>0</v>
      </c>
      <c r="W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)-SUM(D19:V19),0)</f>
        <v>0</v>
      </c>
      <c r="X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)-SUM(D19:W19),0)</f>
        <v>0</v>
      </c>
      <c r="Y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)-SUM(D19:X19),0)</f>
        <v>0</v>
      </c>
      <c r="Z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)-SUM(D19:Y19),0)</f>
        <v>0</v>
      </c>
      <c r="AA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)-SUM(D19:Z19),0)</f>
        <v>0</v>
      </c>
      <c r="AB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)-SUM(D19:AA19),0)</f>
        <v>0</v>
      </c>
      <c r="AC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)-SUM(D19:AB19),0)</f>
        <v>0</v>
      </c>
      <c r="AD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)-SUM(D19:AC19),0)</f>
        <v>0</v>
      </c>
      <c r="AE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)-SUM(D19:AD19),0)</f>
        <v>0</v>
      </c>
      <c r="AF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)-SUM(D19:AE19),0)</f>
        <v>0</v>
      </c>
      <c r="AG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)-SUM(D19:AF19),0)</f>
        <v>0</v>
      </c>
      <c r="AH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)-SUM(D19:AG19),0)</f>
        <v>0</v>
      </c>
      <c r="AI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)-SUM(D19:AH19),0)</f>
        <v>0</v>
      </c>
      <c r="AJ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)-SUM(D19:AI19),0)</f>
        <v>0</v>
      </c>
      <c r="AK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)-SUM(D19:AJ19),0)</f>
        <v>0</v>
      </c>
      <c r="AL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)-SUM(D19:AK19),0)</f>
        <v>0</v>
      </c>
      <c r="AM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)-SUM(D19:AL19),0)</f>
        <v>0</v>
      </c>
      <c r="AN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)-SUM(D19:AM19),0)</f>
        <v>0</v>
      </c>
      <c r="AO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)-SUM(D19:AN19),0)</f>
        <v>0</v>
      </c>
      <c r="AP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)-SUM(D19:AO19),0)</f>
        <v>0</v>
      </c>
      <c r="AQ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)-SUM(D19:AP19),0)</f>
        <v>0</v>
      </c>
      <c r="AR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)-SUM(D19:AQ19),0)</f>
        <v>0</v>
      </c>
      <c r="AS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)-SUM(D19:AR19),0)</f>
        <v>0</v>
      </c>
      <c r="AT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)-SUM(D19:AS19),0)</f>
        <v>0</v>
      </c>
      <c r="AU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)-SUM(D19:AT19),0)</f>
        <v>0</v>
      </c>
      <c r="AV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)-SUM(D19:AU19),0)</f>
        <v>0</v>
      </c>
      <c r="AW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)-SUM(D19:AV19),0)</f>
        <v>0</v>
      </c>
      <c r="AX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)-SUM(D19:AW19),0)</f>
        <v>0</v>
      </c>
      <c r="AY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)-SUM(D19:AX19),0)</f>
        <v>0</v>
      </c>
      <c r="AZ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)-SUM(D19:AY19),0)</f>
        <v>0</v>
      </c>
      <c r="BA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)-SUM(D19:AZ19),0)</f>
        <v>0</v>
      </c>
      <c r="BB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)-SUM(D19:BA19),0)</f>
        <v>0</v>
      </c>
      <c r="BC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)-SUM(D19:BB19),0)</f>
        <v>0</v>
      </c>
      <c r="BD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)-SUM(D19:BC19),0)</f>
        <v>0</v>
      </c>
      <c r="BE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)-SUM(D19:BD19),0)</f>
        <v>0</v>
      </c>
      <c r="BF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)-SUM(D19:BE19),0)</f>
        <v>0</v>
      </c>
      <c r="BG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)-SUM(D19:BF19),0)</f>
        <v>0</v>
      </c>
      <c r="BH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+IF($C$136&gt;0,$C$137*BH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+(BH17+BH18)*INPUT!$C$6/(100+INPUT!$C$6))-SUM(D19:BG19),0)</f>
        <v>0</v>
      </c>
      <c r="BI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+IF($C$136&gt;0,$C$137*BH11/$C$136,0)+IF($C$136&gt;0,$C$137*BI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+(BH17+BH18)*INPUT!$C$6/(100+INPUT!$C$6)+(BI17+BI18)*INPUT!$C$6/(100+INPUT!$C$6))-SUM(D19:BH19),0)</f>
        <v>0</v>
      </c>
      <c r="BJ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+IF($C$136&gt;0,$C$137*BH11/$C$136,0)+IF($C$136&gt;0,$C$137*BI11/$C$136,0)+IF($C$136&gt;0,$C$137*BJ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+(BH17+BH18)*INPUT!$C$6/(100+INPUT!$C$6)+(BI17+BI18)*INPUT!$C$6/(100+INPUT!$C$6)+(BJ17+BJ18)*INPUT!$C$6/(100+INPUT!$C$6))-SUM(D19:BI19),0)</f>
        <v>0</v>
      </c>
      <c r="BK19" s="6">
        <f>MAX((IF($C$136&gt;0,$C$137*D11/$C$136,0)+IF($C$136&gt;0,$C$137*E11/$C$136,0)+IF($C$136&gt;0,$C$137*F11/$C$136,0)+IF($C$136&gt;0,$C$137*G11/$C$136,0)+IF($C$136&gt;0,$C$137*H11/$C$136,0)+IF($C$136&gt;0,$C$137*I11/$C$136,0)+IF($C$136&gt;0,$C$137*J11/$C$136,0)+IF($C$136&gt;0,$C$137*K11/$C$136,0)+IF($C$136&gt;0,$C$137*L11/$C$136,0)+IF($C$136&gt;0,$C$137*M11/$C$136,0)+IF($C$136&gt;0,$C$137*N11/$C$136,0)+IF($C$136&gt;0,$C$137*O11/$C$136,0)+IF($C$136&gt;0,$C$137*P11/$C$136,0)+IF($C$136&gt;0,$C$137*Q11/$C$136,0)+IF($C$136&gt;0,$C$137*R11/$C$136,0)+IF($C$136&gt;0,$C$137*S11/$C$136,0)+IF($C$136&gt;0,$C$137*T11/$C$136,0)+IF($C$136&gt;0,$C$137*U11/$C$136,0)+IF($C$136&gt;0,$C$137*V11/$C$136,0)+IF($C$136&gt;0,$C$137*W11/$C$136,0)+IF($C$136&gt;0,$C$137*X11/$C$136,0)+IF($C$136&gt;0,$C$137*Y11/$C$136,0)+IF($C$136&gt;0,$C$137*Z11/$C$136,0)+IF($C$136&gt;0,$C$137*AA11/$C$136,0)+IF($C$136&gt;0,$C$137*AB11/$C$136,0)+IF($C$136&gt;0,$C$137*AC11/$C$136,0)+IF($C$136&gt;0,$C$137*AD11/$C$136,0)+IF($C$136&gt;0,$C$137*AE11/$C$136,0)+IF($C$136&gt;0,$C$137*AF11/$C$136,0)+IF($C$136&gt;0,$C$137*AG11/$C$136,0)+IF($C$136&gt;0,$C$137*AH11/$C$136,0)+IF($C$136&gt;0,$C$137*AI11/$C$136,0)+IF($C$136&gt;0,$C$137*AJ11/$C$136,0)+IF($C$136&gt;0,$C$137*AK11/$C$136,0)+IF($C$136&gt;0,$C$137*AL11/$C$136,0)+IF($C$136&gt;0,$C$137*AM11/$C$136,0)+IF($C$136&gt;0,$C$137*AN11/$C$136,0)+IF($C$136&gt;0,$C$137*AO11/$C$136,0)+IF($C$136&gt;0,$C$137*AP11/$C$136,0)+IF($C$136&gt;0,$C$137*AQ11/$C$136,0)+IF($C$136&gt;0,$C$137*AR11/$C$136,0)+IF($C$136&gt;0,$C$137*AS11/$C$136,0)+IF($C$136&gt;0,$C$137*AT11/$C$136,0)+IF($C$136&gt;0,$C$137*AU11/$C$136,0)+IF($C$136&gt;0,$C$137*AV11/$C$136,0)+IF($C$136&gt;0,$C$137*AW11/$C$136,0)+IF($C$136&gt;0,$C$137*AX11/$C$136,0)+IF($C$136&gt;0,$C$137*AY11/$C$136,0)+IF($C$136&gt;0,$C$137*AZ11/$C$136,0)+IF($C$136&gt;0,$C$137*BA11/$C$136,0)+IF($C$136&gt;0,$C$137*BB11/$C$136,0)+IF($C$136&gt;0,$C$137*BC11/$C$136,0)+IF($C$136&gt;0,$C$137*BD11/$C$136,0)+IF($C$136&gt;0,$C$137*BE11/$C$136,0)+IF($C$136&gt;0,$C$137*BF11/$C$136,0)+IF($C$136&gt;0,$C$137*BG11/$C$136,0)+IF($C$136&gt;0,$C$137*BH11/$C$136,0)+IF($C$136&gt;0,$C$137*BI11/$C$136,0)+IF($C$136&gt;0,$C$137*BJ11/$C$136,0)+IF($C$136&gt;0,$C$137*BK11/$C$136,0))-((D17+D18)*INPUT!$C$6/(100+INPUT!$C$6)+(E17+E18)*INPUT!$C$6/(100+INPUT!$C$6)+(F17+F18)*INPUT!$C$6/(100+INPUT!$C$6)+(G17+G18)*INPUT!$C$6/(100+INPUT!$C$6)+(H17+H18)*INPUT!$C$6/(100+INPUT!$C$6)+(I17+I18)*INPUT!$C$6/(100+INPUT!$C$6)+(J17+J18)*INPUT!$C$6/(100+INPUT!$C$6)+(K17+K18)*INPUT!$C$6/(100+INPUT!$C$6)+(L17+L18)*INPUT!$C$6/(100+INPUT!$C$6)+(M17+M18)*INPUT!$C$6/(100+INPUT!$C$6)+(N17+N18)*INPUT!$C$6/(100+INPUT!$C$6)+(O17+O18)*INPUT!$C$6/(100+INPUT!$C$6)+(P17+P18)*INPUT!$C$6/(100+INPUT!$C$6)+(Q17+Q18)*INPUT!$C$6/(100+INPUT!$C$6)+(R17+R18)*INPUT!$C$6/(100+INPUT!$C$6)+(S17+S18)*INPUT!$C$6/(100+INPUT!$C$6)+(T17+T18)*INPUT!$C$6/(100+INPUT!$C$6)+(U17+U18)*INPUT!$C$6/(100+INPUT!$C$6)+(V17+V18)*INPUT!$C$6/(100+INPUT!$C$6)+(W17+W18)*INPUT!$C$6/(100+INPUT!$C$6)+(X17+X18)*INPUT!$C$6/(100+INPUT!$C$6)+(Y17+Y18)*INPUT!$C$6/(100+INPUT!$C$6)+(Z17+Z18)*INPUT!$C$6/(100+INPUT!$C$6)+(AA17+AA18)*INPUT!$C$6/(100+INPUT!$C$6)+(AB17+AB18)*INPUT!$C$6/(100+INPUT!$C$6)+(AC17+AC18)*INPUT!$C$6/(100+INPUT!$C$6)+(AD17+AD18)*INPUT!$C$6/(100+INPUT!$C$6)+(AE17+AE18)*INPUT!$C$6/(100+INPUT!$C$6)+(AF17+AF18)*INPUT!$C$6/(100+INPUT!$C$6)+(AG17+AG18)*INPUT!$C$6/(100+INPUT!$C$6)+(AH17+AH18)*INPUT!$C$6/(100+INPUT!$C$6)+(AI17+AI18)*INPUT!$C$6/(100+INPUT!$C$6)+(AJ17+AJ18)*INPUT!$C$6/(100+INPUT!$C$6)+(AK17+AK18)*INPUT!$C$6/(100+INPUT!$C$6)+(AL17+AL18)*INPUT!$C$6/(100+INPUT!$C$6)+(AM17+AM18)*INPUT!$C$6/(100+INPUT!$C$6)+(AN17+AN18)*INPUT!$C$6/(100+INPUT!$C$6)+(AO17+AO18)*INPUT!$C$6/(100+INPUT!$C$6)+(AP17+AP18)*INPUT!$C$6/(100+INPUT!$C$6)+(AQ17+AQ18)*INPUT!$C$6/(100+INPUT!$C$6)+(AR17+AR18)*INPUT!$C$6/(100+INPUT!$C$6)+(AS17+AS18)*INPUT!$C$6/(100+INPUT!$C$6)+(AT17+AT18)*INPUT!$C$6/(100+INPUT!$C$6)+(AU17+AU18)*INPUT!$C$6/(100+INPUT!$C$6)+(AV17+AV18)*INPUT!$C$6/(100+INPUT!$C$6)+(AW17+AW18)*INPUT!$C$6/(100+INPUT!$C$6)+(AX17+AX18)*INPUT!$C$6/(100+INPUT!$C$6)+(AY17+AY18)*INPUT!$C$6/(100+INPUT!$C$6)+(AZ17+AZ18)*INPUT!$C$6/(100+INPUT!$C$6)+(BA17+BA18)*INPUT!$C$6/(100+INPUT!$C$6)+(BB17+BB18)*INPUT!$C$6/(100+INPUT!$C$6)+(BC17+BC18)*INPUT!$C$6/(100+INPUT!$C$6)+(BD17+BD18)*INPUT!$C$6/(100+INPUT!$C$6)+(BE17+BE18)*INPUT!$C$6/(100+INPUT!$C$6)+(BF17+BF18)*INPUT!$C$6/(100+INPUT!$C$6)+(BG17+BG18)*INPUT!$C$6/(100+INPUT!$C$6)+(BH17+BH18)*INPUT!$C$6/(100+INPUT!$C$6)+(BI17+BI18)*INPUT!$C$6/(100+INPUT!$C$6)+(BJ17+BJ18)*INPUT!$C$6/(100+INPUT!$C$6)+(BK17+BK18)*INPUT!$C$6/(100+INPUT!$C$6))-SUM(D19:BJ19),0)</f>
        <v>0</v>
      </c>
    </row>
    <row r="20" spans="2:63" x14ac:dyDescent="0.25">
      <c r="B20" s="1" t="s">
        <v>317</v>
      </c>
      <c r="C20" s="6">
        <f t="shared" si="0"/>
        <v>0</v>
      </c>
      <c r="D20" s="6">
        <f t="shared" ref="D20:P20" si="4">D21+D22+D23+D24</f>
        <v>0</v>
      </c>
      <c r="E20" s="6">
        <f t="shared" si="4"/>
        <v>0</v>
      </c>
      <c r="F20" s="6">
        <f t="shared" si="4"/>
        <v>0</v>
      </c>
      <c r="G20" s="6">
        <f t="shared" si="4"/>
        <v>0</v>
      </c>
      <c r="H20" s="6">
        <f t="shared" si="4"/>
        <v>0</v>
      </c>
      <c r="I20" s="6">
        <f t="shared" si="4"/>
        <v>0</v>
      </c>
      <c r="J20" s="6">
        <f t="shared" si="4"/>
        <v>0</v>
      </c>
      <c r="K20" s="6">
        <f t="shared" si="4"/>
        <v>0</v>
      </c>
      <c r="L20" s="6">
        <f t="shared" si="4"/>
        <v>0</v>
      </c>
      <c r="M20" s="6">
        <f t="shared" si="4"/>
        <v>0</v>
      </c>
      <c r="N20" s="6">
        <f t="shared" si="4"/>
        <v>0</v>
      </c>
      <c r="O20" s="6">
        <f t="shared" si="4"/>
        <v>0</v>
      </c>
      <c r="P20" s="6">
        <f t="shared" si="4"/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</row>
    <row r="21" spans="2:63" x14ac:dyDescent="0.25">
      <c r="B21" s="1" t="s">
        <v>311</v>
      </c>
      <c r="C21" s="6">
        <f t="shared" si="0"/>
        <v>0</v>
      </c>
      <c r="D21" s="6">
        <f>$C$124*$C$106*TIENDO!C3/100+$C$125*$C$106*TIENDO!C4/100</f>
        <v>0</v>
      </c>
      <c r="E21" s="6">
        <f>$C$124*$C$106*TIENDO!D3/100+$C$125*$C$106*TIENDO!D4/100</f>
        <v>0</v>
      </c>
      <c r="F21" s="6">
        <f>$C$124*$C$106*TIENDO!E3/100+$C$125*$C$106*TIENDO!E4/100</f>
        <v>0</v>
      </c>
      <c r="G21" s="6">
        <f>$C$124*$C$106*TIENDO!F3/100+$C$125*$C$106*TIENDO!F4/100</f>
        <v>0</v>
      </c>
      <c r="H21" s="6">
        <f>$C$124*$C$106*TIENDO!G3/100+$C$125*$C$106*TIENDO!G4/100</f>
        <v>0</v>
      </c>
      <c r="I21" s="6">
        <f>$C$124*$C$106*TIENDO!H3/100+$C$125*$C$106*TIENDO!H4/100</f>
        <v>0</v>
      </c>
      <c r="J21" s="6">
        <f>$C$124*$C$106*TIENDO!I3/100+$C$125*$C$106*TIENDO!I4/100</f>
        <v>0</v>
      </c>
      <c r="K21" s="6">
        <f>$C$124*$C$106*TIENDO!J3/100+$C$125*$C$106*TIENDO!J4/100</f>
        <v>0</v>
      </c>
      <c r="L21" s="6">
        <f>$C$124*$C$106*TIENDO!K3/100+$C$125*$C$106*TIENDO!K4/100</f>
        <v>0</v>
      </c>
      <c r="M21" s="6">
        <f>$C$124*$C$106*TIENDO!L3/100+$C$125*$C$106*TIENDO!L4/100</f>
        <v>0</v>
      </c>
      <c r="N21" s="6">
        <f>$C$124*$C$106*TIENDO!M3/100+$C$125*$C$106*TIENDO!M4/100</f>
        <v>0</v>
      </c>
      <c r="O21" s="6">
        <f>$C$124*$C$106*TIENDO!N3/100+$C$125*$C$106*TIENDO!N4/100</f>
        <v>0</v>
      </c>
      <c r="P21" s="6">
        <f>$C$124*$C$106*TIENDO!O3/100+$C$125*$C$106*TIENDO!O4/100</f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</row>
    <row r="22" spans="2:63" x14ac:dyDescent="0.25">
      <c r="B22" s="1" t="s">
        <v>312</v>
      </c>
      <c r="C22" s="6">
        <f t="shared" si="0"/>
        <v>0</v>
      </c>
      <c r="D22" s="6">
        <f>$C$126*$C$106*TIENDO!C5/100</f>
        <v>0</v>
      </c>
      <c r="E22" s="6">
        <f>$C$126*$C$106*TIENDO!D5/100</f>
        <v>0</v>
      </c>
      <c r="F22" s="6">
        <f>$C$126*$C$106*TIENDO!E5/100</f>
        <v>0</v>
      </c>
      <c r="G22" s="6">
        <f>$C$126*$C$106*TIENDO!F5/100</f>
        <v>0</v>
      </c>
      <c r="H22" s="6">
        <f>$C$126*$C$106*TIENDO!G5/100</f>
        <v>0</v>
      </c>
      <c r="I22" s="6">
        <f>$C$126*$C$106*TIENDO!H5/100</f>
        <v>0</v>
      </c>
      <c r="J22" s="6">
        <f>$C$126*$C$106*TIENDO!I5/100</f>
        <v>0</v>
      </c>
      <c r="K22" s="6">
        <f>$C$126*$C$106*TIENDO!J5/100</f>
        <v>0</v>
      </c>
      <c r="L22" s="6">
        <f>$C$126*$C$106*TIENDO!K5/100</f>
        <v>0</v>
      </c>
      <c r="M22" s="6">
        <f>$C$126*$C$106*TIENDO!L5/100</f>
        <v>0</v>
      </c>
      <c r="N22" s="6">
        <f>$C$126*$C$106*TIENDO!M5/100</f>
        <v>0</v>
      </c>
      <c r="O22" s="6">
        <f>$C$126*$C$106*TIENDO!N5/100</f>
        <v>0</v>
      </c>
      <c r="P22" s="6">
        <f>$C$126*$C$106*TIENDO!O5/100</f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</row>
    <row r="23" spans="2:63" x14ac:dyDescent="0.25">
      <c r="B23" s="1" t="s">
        <v>313</v>
      </c>
      <c r="C23" s="6">
        <f t="shared" si="0"/>
        <v>0</v>
      </c>
      <c r="D23" s="6">
        <f>$C$127*$C$106*TIENDO!C6/100</f>
        <v>0</v>
      </c>
      <c r="E23" s="6">
        <f>$C$127*$C$106*TIENDO!D6/100</f>
        <v>0</v>
      </c>
      <c r="F23" s="6">
        <f>$C$127*$C$106*TIENDO!E6/100</f>
        <v>0</v>
      </c>
      <c r="G23" s="6">
        <f>$C$127*$C$106*TIENDO!F6/100</f>
        <v>0</v>
      </c>
      <c r="H23" s="6">
        <f>$C$127*$C$106*TIENDO!G6/100</f>
        <v>0</v>
      </c>
      <c r="I23" s="6">
        <f>$C$127*$C$106*TIENDO!H6/100</f>
        <v>0</v>
      </c>
      <c r="J23" s="6">
        <f>$C$127*$C$106*TIENDO!I6/100</f>
        <v>0</v>
      </c>
      <c r="K23" s="6">
        <f>$C$127*$C$106*TIENDO!J6/100</f>
        <v>0</v>
      </c>
      <c r="L23" s="6">
        <f>$C$127*$C$106*TIENDO!K6/100</f>
        <v>0</v>
      </c>
      <c r="M23" s="6">
        <f>$C$127*$C$106*TIENDO!L6/100</f>
        <v>0</v>
      </c>
      <c r="N23" s="6">
        <f>$C$127*$C$106*TIENDO!M6/100</f>
        <v>0</v>
      </c>
      <c r="O23" s="6">
        <f>$C$127*$C$106*TIENDO!N6/100</f>
        <v>0</v>
      </c>
      <c r="P23" s="6">
        <f>$C$127*$C$106*TIENDO!O6/100</f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</row>
    <row r="24" spans="2:63" x14ac:dyDescent="0.25">
      <c r="B24" s="1" t="s">
        <v>314</v>
      </c>
      <c r="C24" s="6">
        <f t="shared" si="0"/>
        <v>0</v>
      </c>
      <c r="D24" s="6">
        <f>($C$128*$C$106*TIENDO!C7/100+$C$130*1*TIENDO!C9/100+$C$131*$C$105*TIENDO!C10/100+$C$132*$C$105*TIENDO!C11/100)/(1+INPUT!$C$6/100)</f>
        <v>0</v>
      </c>
      <c r="E24" s="6">
        <f>($C$128*$C$106*TIENDO!D7/100+$C$130*1*TIENDO!D9/100+$C$131*$C$105*TIENDO!D10/100+$C$132*$C$105*TIENDO!D11/100)/(1+INPUT!$C$6/100)</f>
        <v>0</v>
      </c>
      <c r="F24" s="6">
        <f>($C$128*$C$106*TIENDO!E7/100+$C$130*1*TIENDO!E9/100+$C$131*$C$105*TIENDO!E10/100+$C$132*$C$105*TIENDO!E11/100)/(1+INPUT!$C$6/100)</f>
        <v>0</v>
      </c>
      <c r="G24" s="6">
        <f>($C$128*$C$106*TIENDO!F7/100+$C$130*1*TIENDO!F9/100+$C$131*$C$105*TIENDO!F10/100+$C$132*$C$105*TIENDO!F11/100)/(1+INPUT!$C$6/100)</f>
        <v>0</v>
      </c>
      <c r="H24" s="6">
        <f>($C$128*$C$106*TIENDO!G7/100+$C$130*1*TIENDO!G9/100+$C$131*$C$105*TIENDO!G10/100+$C$132*$C$105*TIENDO!G11/100)/(1+INPUT!$C$6/100)</f>
        <v>0</v>
      </c>
      <c r="I24" s="6">
        <f>($C$128*$C$106*TIENDO!H7/100+$C$130*1*TIENDO!H9/100+$C$131*$C$105*TIENDO!H10/100+$C$132*$C$105*TIENDO!H11/100)/(1+INPUT!$C$6/100)</f>
        <v>0</v>
      </c>
      <c r="J24" s="6">
        <f>($C$128*$C$106*TIENDO!I7/100+$C$130*1*TIENDO!I9/100+$C$131*$C$105*TIENDO!I10/100+$C$132*$C$105*TIENDO!I11/100)/(1+INPUT!$C$6/100)</f>
        <v>0</v>
      </c>
      <c r="K24" s="6">
        <f>($C$128*$C$106*TIENDO!J7/100+$C$130*1*TIENDO!J9/100+$C$131*$C$105*TIENDO!J10/100+$C$132*$C$105*TIENDO!J11/100)/(1+INPUT!$C$6/100)</f>
        <v>0</v>
      </c>
      <c r="L24" s="6">
        <f>($C$128*$C$106*TIENDO!K7/100+$C$130*1*TIENDO!K9/100+$C$131*$C$105*TIENDO!K10/100+$C$132*$C$105*TIENDO!K11/100)/(1+INPUT!$C$6/100)</f>
        <v>0</v>
      </c>
      <c r="M24" s="6">
        <f>($C$128*$C$106*TIENDO!L7/100+$C$130*1*TIENDO!L9/100+$C$131*$C$105*TIENDO!L10/100+$C$132*$C$105*TIENDO!L11/100)/(1+INPUT!$C$6/100)</f>
        <v>0</v>
      </c>
      <c r="N24" s="6">
        <f>($C$128*$C$106*TIENDO!M7/100+$C$130*1*TIENDO!M9/100+$C$131*$C$105*TIENDO!M10/100+$C$132*$C$105*TIENDO!M11/100)/(1+INPUT!$C$6/100)</f>
        <v>0</v>
      </c>
      <c r="O24" s="6">
        <f>($C$128*$C$106*TIENDO!N7/100+$C$130*1*TIENDO!N9/100+$C$131*$C$105*TIENDO!N10/100+$C$132*$C$105*TIENDO!N11/100)/(1+INPUT!$C$6/100)</f>
        <v>0</v>
      </c>
      <c r="P24" s="6">
        <f>($C$128*$C$106*TIENDO!O7/100+$C$130*1*TIENDO!O9/100+$C$131*$C$105*TIENDO!O10/100+$C$132*$C$105*TIENDO!O11/100)/(1+INPUT!$C$6/100)</f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</row>
    <row r="25" spans="2:63" x14ac:dyDescent="0.25">
      <c r="B25" s="1" t="s">
        <v>318</v>
      </c>
      <c r="C25" s="6">
        <f t="shared" si="0"/>
        <v>0</v>
      </c>
      <c r="D25" s="6">
        <f t="shared" ref="D25:AI25" si="5">D59+D60+D61</f>
        <v>0</v>
      </c>
      <c r="E25" s="6">
        <f t="shared" si="5"/>
        <v>0</v>
      </c>
      <c r="F25" s="6">
        <f t="shared" si="5"/>
        <v>0</v>
      </c>
      <c r="G25" s="6">
        <f t="shared" si="5"/>
        <v>0</v>
      </c>
      <c r="H25" s="6">
        <f t="shared" si="5"/>
        <v>0</v>
      </c>
      <c r="I25" s="6">
        <f t="shared" si="5"/>
        <v>0</v>
      </c>
      <c r="J25" s="6">
        <f t="shared" si="5"/>
        <v>0</v>
      </c>
      <c r="K25" s="6">
        <f t="shared" si="5"/>
        <v>0</v>
      </c>
      <c r="L25" s="6">
        <f t="shared" si="5"/>
        <v>0</v>
      </c>
      <c r="M25" s="6">
        <f t="shared" si="5"/>
        <v>0</v>
      </c>
      <c r="N25" s="6">
        <f t="shared" si="5"/>
        <v>0</v>
      </c>
      <c r="O25" s="6">
        <f t="shared" si="5"/>
        <v>0</v>
      </c>
      <c r="P25" s="6">
        <f t="shared" si="5"/>
        <v>0</v>
      </c>
      <c r="Q25" s="6">
        <f t="shared" si="5"/>
        <v>0</v>
      </c>
      <c r="R25" s="6">
        <f t="shared" si="5"/>
        <v>0</v>
      </c>
      <c r="S25" s="6">
        <f t="shared" si="5"/>
        <v>0</v>
      </c>
      <c r="T25" s="6">
        <f t="shared" si="5"/>
        <v>0</v>
      </c>
      <c r="U25" s="6">
        <f t="shared" si="5"/>
        <v>0</v>
      </c>
      <c r="V25" s="6">
        <f t="shared" si="5"/>
        <v>0</v>
      </c>
      <c r="W25" s="6">
        <f t="shared" si="5"/>
        <v>0</v>
      </c>
      <c r="X25" s="6">
        <f t="shared" si="5"/>
        <v>0</v>
      </c>
      <c r="Y25" s="6">
        <f t="shared" si="5"/>
        <v>0</v>
      </c>
      <c r="Z25" s="6">
        <f t="shared" si="5"/>
        <v>0</v>
      </c>
      <c r="AA25" s="6">
        <f t="shared" si="5"/>
        <v>0</v>
      </c>
      <c r="AB25" s="6">
        <f t="shared" si="5"/>
        <v>0</v>
      </c>
      <c r="AC25" s="6">
        <f t="shared" si="5"/>
        <v>0</v>
      </c>
      <c r="AD25" s="6">
        <f t="shared" si="5"/>
        <v>0</v>
      </c>
      <c r="AE25" s="6">
        <f t="shared" si="5"/>
        <v>0</v>
      </c>
      <c r="AF25" s="6">
        <f t="shared" si="5"/>
        <v>0</v>
      </c>
      <c r="AG25" s="6">
        <f t="shared" si="5"/>
        <v>0</v>
      </c>
      <c r="AH25" s="6">
        <f t="shared" si="5"/>
        <v>0</v>
      </c>
      <c r="AI25" s="6">
        <f t="shared" si="5"/>
        <v>0</v>
      </c>
      <c r="AJ25" s="6">
        <f t="shared" ref="AJ25:BK25" si="6">AJ59+AJ60+AJ61</f>
        <v>0</v>
      </c>
      <c r="AK25" s="6">
        <f t="shared" si="6"/>
        <v>0</v>
      </c>
      <c r="AL25" s="6">
        <f t="shared" si="6"/>
        <v>0</v>
      </c>
      <c r="AM25" s="6">
        <f t="shared" si="6"/>
        <v>0</v>
      </c>
      <c r="AN25" s="6">
        <f t="shared" si="6"/>
        <v>0</v>
      </c>
      <c r="AO25" s="6">
        <f t="shared" si="6"/>
        <v>0</v>
      </c>
      <c r="AP25" s="6">
        <f t="shared" si="6"/>
        <v>0</v>
      </c>
      <c r="AQ25" s="6">
        <f t="shared" si="6"/>
        <v>0</v>
      </c>
      <c r="AR25" s="6">
        <f t="shared" si="6"/>
        <v>0</v>
      </c>
      <c r="AS25" s="6">
        <f t="shared" si="6"/>
        <v>0</v>
      </c>
      <c r="AT25" s="6">
        <f t="shared" si="6"/>
        <v>0</v>
      </c>
      <c r="AU25" s="6">
        <f t="shared" si="6"/>
        <v>0</v>
      </c>
      <c r="AV25" s="6">
        <f t="shared" si="6"/>
        <v>0</v>
      </c>
      <c r="AW25" s="6">
        <f t="shared" si="6"/>
        <v>0</v>
      </c>
      <c r="AX25" s="6">
        <f t="shared" si="6"/>
        <v>0</v>
      </c>
      <c r="AY25" s="6">
        <f t="shared" si="6"/>
        <v>0</v>
      </c>
      <c r="AZ25" s="6">
        <f t="shared" si="6"/>
        <v>0</v>
      </c>
      <c r="BA25" s="6">
        <f t="shared" si="6"/>
        <v>0</v>
      </c>
      <c r="BB25" s="6">
        <f t="shared" si="6"/>
        <v>0</v>
      </c>
      <c r="BC25" s="6">
        <f t="shared" si="6"/>
        <v>0</v>
      </c>
      <c r="BD25" s="6">
        <f t="shared" si="6"/>
        <v>0</v>
      </c>
      <c r="BE25" s="6">
        <f t="shared" si="6"/>
        <v>0</v>
      </c>
      <c r="BF25" s="6">
        <f t="shared" si="6"/>
        <v>0</v>
      </c>
      <c r="BG25" s="6">
        <f t="shared" si="6"/>
        <v>0</v>
      </c>
      <c r="BH25" s="6">
        <f t="shared" si="6"/>
        <v>0</v>
      </c>
      <c r="BI25" s="6">
        <f t="shared" si="6"/>
        <v>0</v>
      </c>
      <c r="BJ25" s="6">
        <f t="shared" si="6"/>
        <v>0</v>
      </c>
      <c r="BK25" s="6">
        <f t="shared" si="6"/>
        <v>0</v>
      </c>
    </row>
    <row r="26" spans="2:63" x14ac:dyDescent="0.25">
      <c r="B26" s="1" t="s">
        <v>319</v>
      </c>
      <c r="C26" s="6">
        <f t="shared" si="0"/>
        <v>3222241103.5181761</v>
      </c>
      <c r="D26" s="6">
        <f>IF(AND(D11&gt;0,SUM(E11:BK11)=0),MAX($C$154*INPUT!$C$7/100-0,0),D11*INPUT!$C$8/100)</f>
        <v>0</v>
      </c>
      <c r="E26" s="6">
        <f>IF(AND(E11&gt;0,SUM(F11:BK11)=0),MAX($C$154*INPUT!$C$7/100-SUM(D26:D26),-SUM(D26:D26)),E11*INPUT!$C$8/100)</f>
        <v>0</v>
      </c>
      <c r="F26" s="6">
        <f>IF(AND(F11&gt;0,SUM(G11:BK11)=0),MAX($C$154*INPUT!$C$7/100-SUM(D26:E26),-SUM(D26:E26)),F11*INPUT!$C$8/100)</f>
        <v>1708839000</v>
      </c>
      <c r="G26" s="6">
        <f>IF(AND(G11&gt;0,SUM(H11:BK11)=0),MAX($C$154*INPUT!$C$7/100-SUM(D26:F26),-SUM(D26:F26)),G11*INPUT!$C$8/100)</f>
        <v>9384374175</v>
      </c>
      <c r="H26" s="6">
        <f>IF(AND(H11&gt;0,SUM(I11:BK11)=0),MAX($C$154*INPUT!$C$7/100-SUM(D26:G26),-SUM(D26:G26)),H11*INPUT!$C$8/100)</f>
        <v>-7870972071.4818239</v>
      </c>
      <c r="I26" s="6">
        <f>IF(AND(I11&gt;0,SUM(J11:BK11)=0),MAX($C$154*INPUT!$C$7/100-SUM(D26:H26),-SUM(D26:H26)),I11*INPUT!$C$8/100)</f>
        <v>0</v>
      </c>
      <c r="J26" s="6">
        <f>IF(AND(J11&gt;0,SUM(K11:BK11)=0),MAX($C$154*INPUT!$C$7/100-SUM(D26:I26),-SUM(D26:I26)),J11*INPUT!$C$8/100)</f>
        <v>0</v>
      </c>
      <c r="K26" s="6">
        <f>IF(AND(K11&gt;0,SUM(L11:BK11)=0),MAX($C$154*INPUT!$C$7/100-SUM(D26:J26),-SUM(D26:J26)),K11*INPUT!$C$8/100)</f>
        <v>0</v>
      </c>
      <c r="L26" s="6">
        <f>IF(AND(L11&gt;0,SUM(M11:BK11)=0),MAX($C$154*INPUT!$C$7/100-SUM(D26:K26),-SUM(D26:K26)),L11*INPUT!$C$8/100)</f>
        <v>0</v>
      </c>
      <c r="M26" s="6">
        <f>IF(AND(M11&gt;0,SUM(N11:BK11)=0),MAX($C$154*INPUT!$C$7/100-SUM(D26:L26),-SUM(D26:L26)),M11*INPUT!$C$8/100)</f>
        <v>0</v>
      </c>
      <c r="N26" s="6">
        <f>IF(AND(N11&gt;0,SUM(O11:BK11)=0),MAX($C$154*INPUT!$C$7/100-SUM(D26:M26),-SUM(D26:M26)),N11*INPUT!$C$8/100)</f>
        <v>0</v>
      </c>
      <c r="O26" s="6">
        <f>IF(AND(O11&gt;0,SUM(P11:BK11)=0),MAX($C$154*INPUT!$C$7/100-SUM(D26:N26),-SUM(D26:N26)),O11*INPUT!$C$8/100)</f>
        <v>0</v>
      </c>
      <c r="P26" s="6">
        <f>IF(AND(P11&gt;0,SUM(Q11:BK11)=0),MAX($C$154*INPUT!$C$7/100-SUM(D26:O26),-SUM(D26:O26)),P11*INPUT!$C$8/100)</f>
        <v>0</v>
      </c>
      <c r="Q26" s="6">
        <f>IF(AND(Q11&gt;0,SUM(R11:BK11)=0),MAX($C$154*INPUT!$C$7/100-SUM(D26:P26),-SUM(D26:P26)),Q11*INPUT!$C$8/100)</f>
        <v>0</v>
      </c>
      <c r="R26" s="6">
        <f>IF(AND(R11&gt;0,SUM(S11:BK11)=0),MAX($C$154*INPUT!$C$7/100-SUM(D26:Q26),-SUM(D26:Q26)),R11*INPUT!$C$8/100)</f>
        <v>0</v>
      </c>
      <c r="S26" s="6">
        <f>IF(AND(S11&gt;0,SUM(T11:BK11)=0),MAX($C$154*INPUT!$C$7/100-SUM(D26:R26),-SUM(D26:R26)),S11*INPUT!$C$8/100)</f>
        <v>0</v>
      </c>
      <c r="T26" s="6">
        <f>IF(AND(T11&gt;0,SUM(U11:BK11)=0),MAX($C$154*INPUT!$C$7/100-SUM(D26:S26),-SUM(D26:S26)),T11*INPUT!$C$8/100)</f>
        <v>0</v>
      </c>
      <c r="U26" s="6">
        <f>IF(AND(U11&gt;0,SUM(V11:BK11)=0),MAX($C$154*INPUT!$C$7/100-SUM(D26:T26),-SUM(D26:T26)),U11*INPUT!$C$8/100)</f>
        <v>0</v>
      </c>
      <c r="V26" s="6">
        <f>IF(AND(V11&gt;0,SUM(W11:BK11)=0),MAX($C$154*INPUT!$C$7/100-SUM(D26:U26),-SUM(D26:U26)),V11*INPUT!$C$8/100)</f>
        <v>0</v>
      </c>
      <c r="W26" s="6">
        <f>IF(AND(W11&gt;0,SUM(X11:BK11)=0),MAX($C$154*INPUT!$C$7/100-SUM(D26:V26),-SUM(D26:V26)),W11*INPUT!$C$8/100)</f>
        <v>0</v>
      </c>
      <c r="X26" s="6">
        <f>IF(AND(X11&gt;0,SUM(Y11:BK11)=0),MAX($C$154*INPUT!$C$7/100-SUM(D26:W26),-SUM(D26:W26)),X11*INPUT!$C$8/100)</f>
        <v>0</v>
      </c>
      <c r="Y26" s="6">
        <f>IF(AND(Y11&gt;0,SUM(Z11:BK11)=0),MAX($C$154*INPUT!$C$7/100-SUM(D26:X26),-SUM(D26:X26)),Y11*INPUT!$C$8/100)</f>
        <v>0</v>
      </c>
      <c r="Z26" s="6">
        <f>IF(AND(Z11&gt;0,SUM(AA11:BK11)=0),MAX($C$154*INPUT!$C$7/100-SUM(D26:Y26),-SUM(D26:Y26)),Z11*INPUT!$C$8/100)</f>
        <v>0</v>
      </c>
      <c r="AA26" s="6">
        <f>IF(AND(AA11&gt;0,SUM(AB11:BK11)=0),MAX($C$154*INPUT!$C$7/100-SUM(D26:Z26),-SUM(D26:Z26)),AA11*INPUT!$C$8/100)</f>
        <v>0</v>
      </c>
      <c r="AB26" s="6">
        <f>IF(AND(AB11&gt;0,SUM(AC11:BK11)=0),MAX($C$154*INPUT!$C$7/100-SUM(D26:AA26),-SUM(D26:AA26)),AB11*INPUT!$C$8/100)</f>
        <v>0</v>
      </c>
      <c r="AC26" s="6">
        <f>IF(AND(AC11&gt;0,SUM(AD11:BK11)=0),MAX($C$154*INPUT!$C$7/100-SUM(D26:AB26),-SUM(D26:AB26)),AC11*INPUT!$C$8/100)</f>
        <v>0</v>
      </c>
      <c r="AD26" s="6">
        <f>IF(AND(AD11&gt;0,SUM(AE11:BK11)=0),MAX($C$154*INPUT!$C$7/100-SUM(D26:AC26),-SUM(D26:AC26)),AD11*INPUT!$C$8/100)</f>
        <v>0</v>
      </c>
      <c r="AE26" s="6">
        <f>IF(AND(AE11&gt;0,SUM(AF11:BK11)=0),MAX($C$154*INPUT!$C$7/100-SUM(D26:AD26),-SUM(D26:AD26)),AE11*INPUT!$C$8/100)</f>
        <v>0</v>
      </c>
      <c r="AF26" s="6">
        <f>IF(AND(AF11&gt;0,SUM(AG11:BK11)=0),MAX($C$154*INPUT!$C$7/100-SUM(D26:AE26),-SUM(D26:AE26)),AF11*INPUT!$C$8/100)</f>
        <v>0</v>
      </c>
      <c r="AG26" s="6">
        <f>IF(AND(AG11&gt;0,SUM(AH11:BK11)=0),MAX($C$154*INPUT!$C$7/100-SUM(D26:AF26),-SUM(D26:AF26)),AG11*INPUT!$C$8/100)</f>
        <v>0</v>
      </c>
      <c r="AH26" s="6">
        <f>IF(AND(AH11&gt;0,SUM(AI11:BK11)=0),MAX($C$154*INPUT!$C$7/100-SUM(D26:AG26),-SUM(D26:AG26)),AH11*INPUT!$C$8/100)</f>
        <v>0</v>
      </c>
      <c r="AI26" s="6">
        <f>IF(AND(AI11&gt;0,SUM(AJ11:BK11)=0),MAX($C$154*INPUT!$C$7/100-SUM(D26:AH26),-SUM(D26:AH26)),AI11*INPUT!$C$8/100)</f>
        <v>0</v>
      </c>
      <c r="AJ26" s="6">
        <f>IF(AND(AJ11&gt;0,SUM(AK11:BK11)=0),MAX($C$154*INPUT!$C$7/100-SUM(D26:AI26),-SUM(D26:AI26)),AJ11*INPUT!$C$8/100)</f>
        <v>0</v>
      </c>
      <c r="AK26" s="6">
        <f>IF(AND(AK11&gt;0,SUM(AL11:BK11)=0),MAX($C$154*INPUT!$C$7/100-SUM(D26:AJ26),-SUM(D26:AJ26)),AK11*INPUT!$C$8/100)</f>
        <v>0</v>
      </c>
      <c r="AL26" s="6">
        <f>IF(AND(AL11&gt;0,SUM(AM11:BK11)=0),MAX($C$154*INPUT!$C$7/100-SUM(D26:AK26),-SUM(D26:AK26)),AL11*INPUT!$C$8/100)</f>
        <v>0</v>
      </c>
      <c r="AM26" s="6">
        <f>IF(AND(AM11&gt;0,SUM(AN11:BK11)=0),MAX($C$154*INPUT!$C$7/100-SUM(D26:AL26),-SUM(D26:AL26)),AM11*INPUT!$C$8/100)</f>
        <v>0</v>
      </c>
      <c r="AN26" s="6">
        <f>IF(AND(AN11&gt;0,SUM(AO11:BK11)=0),MAX($C$154*INPUT!$C$7/100-SUM(D26:AM26),-SUM(D26:AM26)),AN11*INPUT!$C$8/100)</f>
        <v>0</v>
      </c>
      <c r="AO26" s="6">
        <f>IF(AND(AO11&gt;0,SUM(AP11:BK11)=0),MAX($C$154*INPUT!$C$7/100-SUM(D26:AN26),-SUM(D26:AN26)),AO11*INPUT!$C$8/100)</f>
        <v>0</v>
      </c>
      <c r="AP26" s="6">
        <f>IF(AND(AP11&gt;0,SUM(AQ11:BK11)=0),MAX($C$154*INPUT!$C$7/100-SUM(D26:AO26),-SUM(D26:AO26)),AP11*INPUT!$C$8/100)</f>
        <v>0</v>
      </c>
      <c r="AQ26" s="6">
        <f>IF(AND(AQ11&gt;0,SUM(AR11:BK11)=0),MAX($C$154*INPUT!$C$7/100-SUM(D26:AP26),-SUM(D26:AP26)),AQ11*INPUT!$C$8/100)</f>
        <v>0</v>
      </c>
      <c r="AR26" s="6">
        <f>IF(AND(AR11&gt;0,SUM(AS11:BK11)=0),MAX($C$154*INPUT!$C$7/100-SUM(D26:AQ26),-SUM(D26:AQ26)),AR11*INPUT!$C$8/100)</f>
        <v>0</v>
      </c>
      <c r="AS26" s="6">
        <f>IF(AND(AS11&gt;0,SUM(AT11:BK11)=0),MAX($C$154*INPUT!$C$7/100-SUM(D26:AR26),-SUM(D26:AR26)),AS11*INPUT!$C$8/100)</f>
        <v>0</v>
      </c>
      <c r="AT26" s="6">
        <f>IF(AND(AT11&gt;0,SUM(AU11:BK11)=0),MAX($C$154*INPUT!$C$7/100-SUM(D26:AS26),-SUM(D26:AS26)),AT11*INPUT!$C$8/100)</f>
        <v>0</v>
      </c>
      <c r="AU26" s="6">
        <f>IF(AND(AU11&gt;0,SUM(AV11:BK11)=0),MAX($C$154*INPUT!$C$7/100-SUM(D26:AT26),-SUM(D26:AT26)),AU11*INPUT!$C$8/100)</f>
        <v>0</v>
      </c>
      <c r="AV26" s="6">
        <f>IF(AND(AV11&gt;0,SUM(AW11:BK11)=0),MAX($C$154*INPUT!$C$7/100-SUM(D26:AU26),-SUM(D26:AU26)),AV11*INPUT!$C$8/100)</f>
        <v>0</v>
      </c>
      <c r="AW26" s="6">
        <f>IF(AND(AW11&gt;0,SUM(AX11:BK11)=0),MAX($C$154*INPUT!$C$7/100-SUM(D26:AV26),-SUM(D26:AV26)),AW11*INPUT!$C$8/100)</f>
        <v>0</v>
      </c>
      <c r="AX26" s="6">
        <f>IF(AND(AX11&gt;0,SUM(AY11:BK11)=0),MAX($C$154*INPUT!$C$7/100-SUM(D26:AW26),-SUM(D26:AW26)),AX11*INPUT!$C$8/100)</f>
        <v>0</v>
      </c>
      <c r="AY26" s="6">
        <f>IF(AND(AY11&gt;0,SUM(AZ11:BK11)=0),MAX($C$154*INPUT!$C$7/100-SUM(D26:AX26),-SUM(D26:AX26)),AY11*INPUT!$C$8/100)</f>
        <v>0</v>
      </c>
      <c r="AZ26" s="6">
        <f>IF(AND(AZ11&gt;0,SUM(BA11:BK11)=0),MAX($C$154*INPUT!$C$7/100-SUM(D26:AY26),-SUM(D26:AY26)),AZ11*INPUT!$C$8/100)</f>
        <v>0</v>
      </c>
      <c r="BA26" s="6">
        <f>IF(AND(BA11&gt;0,SUM(BB11:BK11)=0),MAX($C$154*INPUT!$C$7/100-SUM(D26:AZ26),-SUM(D26:AZ26)),BA11*INPUT!$C$8/100)</f>
        <v>0</v>
      </c>
      <c r="BB26" s="6">
        <f>IF(AND(BB11&gt;0,SUM(BC11:BK11)=0),MAX($C$154*INPUT!$C$7/100-SUM(D26:BA26),-SUM(D26:BA26)),BB11*INPUT!$C$8/100)</f>
        <v>0</v>
      </c>
      <c r="BC26" s="6">
        <f>IF(AND(BC11&gt;0,SUM(BD11:BK11)=0),MAX($C$154*INPUT!$C$7/100-SUM(D26:BB26),-SUM(D26:BB26)),BC11*INPUT!$C$8/100)</f>
        <v>0</v>
      </c>
      <c r="BD26" s="6">
        <f>IF(AND(BD11&gt;0,SUM(BE11:BK11)=0),MAX($C$154*INPUT!$C$7/100-SUM(D26:BC26),-SUM(D26:BC26)),BD11*INPUT!$C$8/100)</f>
        <v>0</v>
      </c>
      <c r="BE26" s="6">
        <f>IF(AND(BE11&gt;0,SUM(BF11:BK11)=0),MAX($C$154*INPUT!$C$7/100-SUM(D26:BD26),-SUM(D26:BD26)),BE11*INPUT!$C$8/100)</f>
        <v>0</v>
      </c>
      <c r="BF26" s="6">
        <f>IF(AND(BF11&gt;0,SUM(BG11:BK11)=0),MAX($C$154*INPUT!$C$7/100-SUM(D26:BE26),-SUM(D26:BE26)),BF11*INPUT!$C$8/100)</f>
        <v>0</v>
      </c>
      <c r="BG26" s="6">
        <f>IF(AND(BG11&gt;0,SUM(BH11:BK11)=0),MAX($C$154*INPUT!$C$7/100-SUM(D26:BF26),-SUM(D26:BF26)),BG11*INPUT!$C$8/100)</f>
        <v>0</v>
      </c>
      <c r="BH26" s="6">
        <f>IF(AND(BH11&gt;0,SUM(BI11:BK11)=0),MAX($C$154*INPUT!$C$7/100-SUM(D26:BG26),-SUM(D26:BG26)),BH11*INPUT!$C$8/100)</f>
        <v>0</v>
      </c>
      <c r="BI26" s="6">
        <f>IF(AND(BI11&gt;0,SUM(BJ11:BK11)=0),MAX($C$154*INPUT!$C$7/100-SUM(D26:BH26),-SUM(D26:BH26)),BI11*INPUT!$C$8/100)</f>
        <v>0</v>
      </c>
      <c r="BJ26" s="6">
        <f>IF(AND(BJ11&gt;0,SUM(BK11:BK11)=0),MAX($C$154*INPUT!$C$7/100-SUM(D26:BI26),-SUM(D26:BI26)),BJ11*INPUT!$C$8/100)</f>
        <v>0</v>
      </c>
      <c r="BK26" s="6">
        <f>IF(AND(BK11&gt;0,TRUE),MAX($C$154*INPUT!$C$7/100-SUM(D26:BJ26),-SUM(D26:BJ26)),BK11*INPUT!$C$8/100)</f>
        <v>0</v>
      </c>
    </row>
    <row r="27" spans="2:63" x14ac:dyDescent="0.25">
      <c r="B27" s="2" t="s">
        <v>320</v>
      </c>
      <c r="C27" s="14">
        <f t="shared" si="0"/>
        <v>-50352459223.427246</v>
      </c>
      <c r="D27" s="14">
        <f t="shared" ref="D27:AI27" si="7">D11+D12-D13-D18-D19-D20-D25-D26-D28</f>
        <v>-200000000000</v>
      </c>
      <c r="E27" s="14">
        <f t="shared" si="7"/>
        <v>-215000000000</v>
      </c>
      <c r="F27" s="14">
        <f t="shared" si="7"/>
        <v>-405318359300</v>
      </c>
      <c r="G27" s="14">
        <f t="shared" si="7"/>
        <v>523770698258.24829</v>
      </c>
      <c r="H27" s="14">
        <f t="shared" si="7"/>
        <v>246195201818.32446</v>
      </c>
      <c r="I27" s="14">
        <f t="shared" si="7"/>
        <v>0</v>
      </c>
      <c r="J27" s="14">
        <f t="shared" si="7"/>
        <v>0</v>
      </c>
      <c r="K27" s="14">
        <f t="shared" si="7"/>
        <v>0</v>
      </c>
      <c r="L27" s="14">
        <f t="shared" si="7"/>
        <v>0</v>
      </c>
      <c r="M27" s="14">
        <f t="shared" si="7"/>
        <v>0</v>
      </c>
      <c r="N27" s="14">
        <f t="shared" si="7"/>
        <v>0</v>
      </c>
      <c r="O27" s="14">
        <f t="shared" si="7"/>
        <v>0</v>
      </c>
      <c r="P27" s="14">
        <f t="shared" si="7"/>
        <v>0</v>
      </c>
      <c r="Q27" s="14">
        <f t="shared" si="7"/>
        <v>0</v>
      </c>
      <c r="R27" s="14">
        <f t="shared" si="7"/>
        <v>0</v>
      </c>
      <c r="S27" s="14">
        <f t="shared" si="7"/>
        <v>0</v>
      </c>
      <c r="T27" s="14">
        <f t="shared" si="7"/>
        <v>0</v>
      </c>
      <c r="U27" s="14">
        <f t="shared" si="7"/>
        <v>0</v>
      </c>
      <c r="V27" s="14">
        <f t="shared" si="7"/>
        <v>0</v>
      </c>
      <c r="W27" s="14">
        <f t="shared" si="7"/>
        <v>0</v>
      </c>
      <c r="X27" s="14">
        <f t="shared" si="7"/>
        <v>0</v>
      </c>
      <c r="Y27" s="14">
        <f t="shared" si="7"/>
        <v>0</v>
      </c>
      <c r="Z27" s="14">
        <f t="shared" si="7"/>
        <v>0</v>
      </c>
      <c r="AA27" s="14">
        <f t="shared" si="7"/>
        <v>0</v>
      </c>
      <c r="AB27" s="14">
        <f t="shared" si="7"/>
        <v>0</v>
      </c>
      <c r="AC27" s="14">
        <f t="shared" si="7"/>
        <v>0</v>
      </c>
      <c r="AD27" s="14">
        <f t="shared" si="7"/>
        <v>0</v>
      </c>
      <c r="AE27" s="14">
        <f t="shared" si="7"/>
        <v>0</v>
      </c>
      <c r="AF27" s="14">
        <f t="shared" si="7"/>
        <v>0</v>
      </c>
      <c r="AG27" s="14">
        <f t="shared" si="7"/>
        <v>0</v>
      </c>
      <c r="AH27" s="14">
        <f t="shared" si="7"/>
        <v>0</v>
      </c>
      <c r="AI27" s="14">
        <f t="shared" si="7"/>
        <v>0</v>
      </c>
      <c r="AJ27" s="14">
        <f t="shared" ref="AJ27:BK27" si="8">AJ11+AJ12-AJ13-AJ18-AJ19-AJ20-AJ25-AJ26-AJ28</f>
        <v>0</v>
      </c>
      <c r="AK27" s="14">
        <f t="shared" si="8"/>
        <v>0</v>
      </c>
      <c r="AL27" s="14">
        <f t="shared" si="8"/>
        <v>0</v>
      </c>
      <c r="AM27" s="14">
        <f t="shared" si="8"/>
        <v>0</v>
      </c>
      <c r="AN27" s="14">
        <f t="shared" si="8"/>
        <v>0</v>
      </c>
      <c r="AO27" s="14">
        <f t="shared" si="8"/>
        <v>0</v>
      </c>
      <c r="AP27" s="14">
        <f t="shared" si="8"/>
        <v>0</v>
      </c>
      <c r="AQ27" s="14">
        <f t="shared" si="8"/>
        <v>0</v>
      </c>
      <c r="AR27" s="14">
        <f t="shared" si="8"/>
        <v>0</v>
      </c>
      <c r="AS27" s="14">
        <f t="shared" si="8"/>
        <v>0</v>
      </c>
      <c r="AT27" s="14">
        <f t="shared" si="8"/>
        <v>0</v>
      </c>
      <c r="AU27" s="14">
        <f t="shared" si="8"/>
        <v>0</v>
      </c>
      <c r="AV27" s="14">
        <f t="shared" si="8"/>
        <v>0</v>
      </c>
      <c r="AW27" s="14">
        <f t="shared" si="8"/>
        <v>0</v>
      </c>
      <c r="AX27" s="14">
        <f t="shared" si="8"/>
        <v>0</v>
      </c>
      <c r="AY27" s="14">
        <f t="shared" si="8"/>
        <v>0</v>
      </c>
      <c r="AZ27" s="14">
        <f t="shared" si="8"/>
        <v>0</v>
      </c>
      <c r="BA27" s="14">
        <f t="shared" si="8"/>
        <v>0</v>
      </c>
      <c r="BB27" s="14">
        <f t="shared" si="8"/>
        <v>0</v>
      </c>
      <c r="BC27" s="14">
        <f t="shared" si="8"/>
        <v>0</v>
      </c>
      <c r="BD27" s="14">
        <f t="shared" si="8"/>
        <v>0</v>
      </c>
      <c r="BE27" s="14">
        <f t="shared" si="8"/>
        <v>0</v>
      </c>
      <c r="BF27" s="14">
        <f t="shared" si="8"/>
        <v>0</v>
      </c>
      <c r="BG27" s="14">
        <f t="shared" si="8"/>
        <v>0</v>
      </c>
      <c r="BH27" s="14">
        <f t="shared" si="8"/>
        <v>0</v>
      </c>
      <c r="BI27" s="14">
        <f t="shared" si="8"/>
        <v>0</v>
      </c>
      <c r="BJ27" s="14">
        <f t="shared" si="8"/>
        <v>0</v>
      </c>
      <c r="BK27" s="14">
        <f t="shared" si="8"/>
        <v>0</v>
      </c>
    </row>
    <row r="28" spans="2:63" x14ac:dyDescent="0.25">
      <c r="B28" s="1" t="s">
        <v>321</v>
      </c>
      <c r="C28" s="6">
        <f t="shared" si="0"/>
        <v>38930360154</v>
      </c>
      <c r="D28" s="6">
        <f>INPUT!$C$5/100*D88</f>
        <v>0</v>
      </c>
      <c r="E28" s="6">
        <f>INPUT!$C$5/100*E88</f>
        <v>0</v>
      </c>
      <c r="F28" s="6">
        <f>INPUT!$C$5/100*F88</f>
        <v>0</v>
      </c>
      <c r="G28" s="6">
        <f>INPUT!$C$5/100*G88</f>
        <v>38930360154</v>
      </c>
      <c r="H28" s="6">
        <f>INPUT!$C$5/100*H88</f>
        <v>0</v>
      </c>
      <c r="I28" s="6">
        <f>INPUT!$C$5/100*I88</f>
        <v>0</v>
      </c>
      <c r="J28" s="6">
        <f>INPUT!$C$5/100*J88</f>
        <v>0</v>
      </c>
      <c r="K28" s="6">
        <f>INPUT!$C$5/100*K88</f>
        <v>0</v>
      </c>
      <c r="L28" s="6">
        <f>INPUT!$C$5/100*L88</f>
        <v>0</v>
      </c>
      <c r="M28" s="6">
        <f>INPUT!$C$5/100*M88</f>
        <v>0</v>
      </c>
      <c r="N28" s="6">
        <f>INPUT!$C$5/100*N88</f>
        <v>0</v>
      </c>
      <c r="O28" s="6">
        <f>INPUT!$C$5/100*O88</f>
        <v>0</v>
      </c>
      <c r="P28" s="6">
        <f>INPUT!$C$5/100*P88</f>
        <v>0</v>
      </c>
      <c r="Q28" s="6">
        <f>INPUT!$C$5/100*Q88</f>
        <v>0</v>
      </c>
      <c r="R28" s="6">
        <f>INPUT!$C$5/100*R88</f>
        <v>0</v>
      </c>
      <c r="S28" s="6">
        <f>INPUT!$C$5/100*S88</f>
        <v>0</v>
      </c>
      <c r="T28" s="6">
        <f>INPUT!$C$5/100*T88</f>
        <v>0</v>
      </c>
      <c r="U28" s="6">
        <f>INPUT!$C$5/100*U88</f>
        <v>0</v>
      </c>
      <c r="V28" s="6">
        <f>INPUT!$C$5/100*V88</f>
        <v>0</v>
      </c>
      <c r="W28" s="6">
        <f>INPUT!$C$5/100*W88</f>
        <v>0</v>
      </c>
      <c r="X28" s="6">
        <f>INPUT!$C$5/100*X88</f>
        <v>0</v>
      </c>
      <c r="Y28" s="6">
        <f>INPUT!$C$5/100*Y88</f>
        <v>0</v>
      </c>
      <c r="Z28" s="6">
        <f>INPUT!$C$5/100*Z88</f>
        <v>0</v>
      </c>
      <c r="AA28" s="6">
        <f>INPUT!$C$5/100*AA88</f>
        <v>0</v>
      </c>
      <c r="AB28" s="6">
        <f>INPUT!$C$5/100*AB88</f>
        <v>0</v>
      </c>
      <c r="AC28" s="6">
        <f>INPUT!$C$5/100*AC88</f>
        <v>0</v>
      </c>
      <c r="AD28" s="6">
        <f>INPUT!$C$5/100*AD88</f>
        <v>0</v>
      </c>
      <c r="AE28" s="6">
        <f>INPUT!$C$5/100*AE88</f>
        <v>0</v>
      </c>
      <c r="AF28" s="6">
        <f>INPUT!$C$5/100*AF88</f>
        <v>0</v>
      </c>
      <c r="AG28" s="6">
        <f>INPUT!$C$5/100*AG88</f>
        <v>0</v>
      </c>
      <c r="AH28" s="6">
        <f>INPUT!$C$5/100*AH88</f>
        <v>0</v>
      </c>
      <c r="AI28" s="6">
        <f>INPUT!$C$5/100*AI88</f>
        <v>0</v>
      </c>
      <c r="AJ28" s="6">
        <f>INPUT!$C$5/100*AJ88</f>
        <v>0</v>
      </c>
      <c r="AK28" s="6">
        <f>INPUT!$C$5/100*AK88</f>
        <v>0</v>
      </c>
      <c r="AL28" s="6">
        <f>INPUT!$C$5/100*AL88</f>
        <v>0</v>
      </c>
      <c r="AM28" s="6">
        <f>INPUT!$C$5/100*AM88</f>
        <v>0</v>
      </c>
      <c r="AN28" s="6">
        <f>INPUT!$C$5/100*AN88</f>
        <v>0</v>
      </c>
      <c r="AO28" s="6">
        <f>INPUT!$C$5/100*AO88</f>
        <v>0</v>
      </c>
      <c r="AP28" s="6">
        <f>INPUT!$C$5/100*AP88</f>
        <v>0</v>
      </c>
      <c r="AQ28" s="6">
        <f>INPUT!$C$5/100*AQ88</f>
        <v>0</v>
      </c>
      <c r="AR28" s="6">
        <f>INPUT!$C$5/100*AR88</f>
        <v>0</v>
      </c>
      <c r="AS28" s="6">
        <f>INPUT!$C$5/100*AS88</f>
        <v>0</v>
      </c>
      <c r="AT28" s="6">
        <f>INPUT!$C$5/100*AT88</f>
        <v>0</v>
      </c>
      <c r="AU28" s="6">
        <f>INPUT!$C$5/100*AU88</f>
        <v>0</v>
      </c>
      <c r="AV28" s="6">
        <f>INPUT!$C$5/100*AV88</f>
        <v>0</v>
      </c>
      <c r="AW28" s="6">
        <f>INPUT!$C$5/100*AW88</f>
        <v>0</v>
      </c>
      <c r="AX28" s="6">
        <f>INPUT!$C$5/100*AX88</f>
        <v>0</v>
      </c>
      <c r="AY28" s="6">
        <f>INPUT!$C$5/100*AY88</f>
        <v>0</v>
      </c>
      <c r="AZ28" s="6">
        <f>INPUT!$C$5/100*AZ88</f>
        <v>0</v>
      </c>
      <c r="BA28" s="6">
        <f>INPUT!$C$5/100*BA88</f>
        <v>0</v>
      </c>
      <c r="BB28" s="6">
        <f>INPUT!$C$5/100*BB88</f>
        <v>0</v>
      </c>
      <c r="BC28" s="6">
        <f>INPUT!$C$5/100*BC88</f>
        <v>0</v>
      </c>
      <c r="BD28" s="6">
        <f>INPUT!$C$5/100*BD88</f>
        <v>0</v>
      </c>
      <c r="BE28" s="6">
        <f>INPUT!$C$5/100*BE88</f>
        <v>0</v>
      </c>
      <c r="BF28" s="6">
        <f>INPUT!$C$5/100*BF88</f>
        <v>0</v>
      </c>
      <c r="BG28" s="6">
        <f>INPUT!$C$5/100*BG88</f>
        <v>0</v>
      </c>
      <c r="BH28" s="6">
        <f>INPUT!$C$5/100*BH88</f>
        <v>0</v>
      </c>
      <c r="BI28" s="6">
        <f>INPUT!$C$5/100*BI88</f>
        <v>0</v>
      </c>
      <c r="BJ28" s="6">
        <f>INPUT!$C$5/100*BJ88</f>
        <v>0</v>
      </c>
      <c r="BK28" s="6">
        <f>INPUT!$C$5/100*BK88</f>
        <v>0</v>
      </c>
    </row>
    <row r="29" spans="2:63" x14ac:dyDescent="0.25">
      <c r="B29" s="1" t="s">
        <v>322</v>
      </c>
      <c r="C29" s="6">
        <f t="shared" si="0"/>
        <v>512984969875</v>
      </c>
      <c r="D29" s="6">
        <f>IF(INPUT!$C$54=2,MAX(D85,0),MIN(D90,MAX(D91,0)))</f>
        <v>0</v>
      </c>
      <c r="E29" s="6">
        <f>IF(INPUT!$C$54=2,MAX(E85,0),MIN(E90,MAX(E91,0)))</f>
        <v>0</v>
      </c>
      <c r="F29" s="6">
        <f>IF(INPUT!$C$54=2,MAX(F85,0),MIN(F90,MAX(F91,0)))</f>
        <v>324419667950</v>
      </c>
      <c r="G29" s="6">
        <f>IF(INPUT!$C$54=2,MAX(G85,0),MIN(G90,MAX(G91,0)))</f>
        <v>155317984937.5</v>
      </c>
      <c r="H29" s="6">
        <f>IF(INPUT!$C$54=2,MAX(H85,0),MIN(H90,MAX(H91,0)))</f>
        <v>33247316987.5</v>
      </c>
      <c r="I29" s="6">
        <f>IF(INPUT!$C$54=2,MAX(I85,0),MIN(I90,MAX(I91,0)))</f>
        <v>0</v>
      </c>
      <c r="J29" s="6">
        <f>IF(INPUT!$C$54=2,MAX(J85,0),MIN(J90,MAX(J91,0)))</f>
        <v>0</v>
      </c>
      <c r="K29" s="6">
        <f>IF(INPUT!$C$54=2,MAX(K85,0),MIN(K90,MAX(K91,0)))</f>
        <v>0</v>
      </c>
      <c r="L29" s="6">
        <f>IF(INPUT!$C$54=2,MAX(L85,0),MIN(L90,MAX(L91,0)))</f>
        <v>0</v>
      </c>
      <c r="M29" s="6">
        <f>IF(INPUT!$C$54=2,MAX(M85,0),MIN(M90,MAX(M91,0)))</f>
        <v>0</v>
      </c>
      <c r="N29" s="6">
        <f>IF(INPUT!$C$54=2,MAX(N85,0),MIN(N90,MAX(N91,0)))</f>
        <v>0</v>
      </c>
      <c r="O29" s="6">
        <f>IF(INPUT!$C$54=2,MAX(O85,0),MIN(O90,MAX(O91,0)))</f>
        <v>0</v>
      </c>
      <c r="P29" s="6">
        <f>IF(INPUT!$C$54=2,MAX(P85,0),MIN(P90,MAX(P91,0)))</f>
        <v>0</v>
      </c>
      <c r="Q29" s="6">
        <f>IF(INPUT!$C$54=2,MAX(Q85,0),MIN(Q90,MAX(Q91,0)))</f>
        <v>0</v>
      </c>
      <c r="R29" s="6">
        <f>IF(INPUT!$C$54=2,MAX(R85,0),MIN(R90,MAX(R91,0)))</f>
        <v>0</v>
      </c>
      <c r="S29" s="6">
        <f>IF(INPUT!$C$54=2,MAX(S85,0),MIN(S90,MAX(S91,0)))</f>
        <v>0</v>
      </c>
      <c r="T29" s="6">
        <f>IF(INPUT!$C$54=2,MAX(T85,0),MIN(T90,MAX(T91,0)))</f>
        <v>0</v>
      </c>
      <c r="U29" s="6">
        <f>IF(INPUT!$C$54=2,MAX(U85,0),MIN(U90,MAX(U91,0)))</f>
        <v>0</v>
      </c>
      <c r="V29" s="6">
        <f>IF(INPUT!$C$54=2,MAX(V85,0),MIN(V90,MAX(V91,0)))</f>
        <v>0</v>
      </c>
      <c r="W29" s="6">
        <f>IF(INPUT!$C$54=2,MAX(W85,0),MIN(W90,MAX(W91,0)))</f>
        <v>0</v>
      </c>
      <c r="X29" s="6">
        <f>IF(INPUT!$C$54=2,MAX(X85,0),MIN(X90,MAX(X91,0)))</f>
        <v>0</v>
      </c>
      <c r="Y29" s="6">
        <f>IF(INPUT!$C$54=2,MAX(Y85,0),MIN(Y90,MAX(Y91,0)))</f>
        <v>0</v>
      </c>
      <c r="Z29" s="6">
        <f>IF(INPUT!$C$54=2,MAX(Z85,0),MIN(Z90,MAX(Z91,0)))</f>
        <v>0</v>
      </c>
      <c r="AA29" s="6">
        <f>IF(INPUT!$C$54=2,MAX(AA85,0),MIN(AA90,MAX(AA91,0)))</f>
        <v>0</v>
      </c>
      <c r="AB29" s="6">
        <f>IF(INPUT!$C$54=2,MAX(AB85,0),MIN(AB90,MAX(AB91,0)))</f>
        <v>0</v>
      </c>
      <c r="AC29" s="6">
        <f>IF(INPUT!$C$54=2,MAX(AC85,0),MIN(AC90,MAX(AC91,0)))</f>
        <v>0</v>
      </c>
      <c r="AD29" s="6">
        <f>IF(INPUT!$C$54=2,MAX(AD85,0),MIN(AD90,MAX(AD91,0)))</f>
        <v>0</v>
      </c>
      <c r="AE29" s="6">
        <f>IF(INPUT!$C$54=2,MAX(AE85,0),MIN(AE90,MAX(AE91,0)))</f>
        <v>0</v>
      </c>
      <c r="AF29" s="6">
        <f>IF(INPUT!$C$54=2,MAX(AF85,0),MIN(AF90,MAX(AF91,0)))</f>
        <v>0</v>
      </c>
      <c r="AG29" s="6">
        <f>IF(INPUT!$C$54=2,MAX(AG85,0),MIN(AG90,MAX(AG91,0)))</f>
        <v>0</v>
      </c>
      <c r="AH29" s="6">
        <f>IF(INPUT!$C$54=2,MAX(AH85,0),MIN(AH90,MAX(AH91,0)))</f>
        <v>0</v>
      </c>
      <c r="AI29" s="6">
        <f>IF(INPUT!$C$54=2,MAX(AI85,0),MIN(AI90,MAX(AI91,0)))</f>
        <v>0</v>
      </c>
      <c r="AJ29" s="6">
        <f>IF(INPUT!$C$54=2,MAX(AJ85,0),MIN(AJ90,MAX(AJ91,0)))</f>
        <v>0</v>
      </c>
      <c r="AK29" s="6">
        <f>IF(INPUT!$C$54=2,MAX(AK85,0),MIN(AK90,MAX(AK91,0)))</f>
        <v>0</v>
      </c>
      <c r="AL29" s="6">
        <f>IF(INPUT!$C$54=2,MAX(AL85,0),MIN(AL90,MAX(AL91,0)))</f>
        <v>0</v>
      </c>
      <c r="AM29" s="6">
        <f>IF(INPUT!$C$54=2,MAX(AM85,0),MIN(AM90,MAX(AM91,0)))</f>
        <v>0</v>
      </c>
      <c r="AN29" s="6">
        <f>IF(INPUT!$C$54=2,MAX(AN85,0),MIN(AN90,MAX(AN91,0)))</f>
        <v>0</v>
      </c>
      <c r="AO29" s="6">
        <f>IF(INPUT!$C$54=2,MAX(AO85,0),MIN(AO90,MAX(AO91,0)))</f>
        <v>0</v>
      </c>
      <c r="AP29" s="6">
        <f>IF(INPUT!$C$54=2,MAX(AP85,0),MIN(AP90,MAX(AP91,0)))</f>
        <v>0</v>
      </c>
      <c r="AQ29" s="6">
        <f>IF(INPUT!$C$54=2,MAX(AQ85,0),MIN(AQ90,MAX(AQ91,0)))</f>
        <v>0</v>
      </c>
      <c r="AR29" s="6">
        <f>IF(INPUT!$C$54=2,MAX(AR85,0),MIN(AR90,MAX(AR91,0)))</f>
        <v>0</v>
      </c>
      <c r="AS29" s="6">
        <f>IF(INPUT!$C$54=2,MAX(AS85,0),MIN(AS90,MAX(AS91,0)))</f>
        <v>0</v>
      </c>
      <c r="AT29" s="6">
        <f>IF(INPUT!$C$54=2,MAX(AT85,0),MIN(AT90,MAX(AT91,0)))</f>
        <v>0</v>
      </c>
      <c r="AU29" s="6">
        <f>IF(INPUT!$C$54=2,MAX(AU85,0),MIN(AU90,MAX(AU91,0)))</f>
        <v>0</v>
      </c>
      <c r="AV29" s="6">
        <f>IF(INPUT!$C$54=2,MAX(AV85,0),MIN(AV90,MAX(AV91,0)))</f>
        <v>0</v>
      </c>
      <c r="AW29" s="6">
        <f>IF(INPUT!$C$54=2,MAX(AW85,0),MIN(AW90,MAX(AW91,0)))</f>
        <v>0</v>
      </c>
      <c r="AX29" s="6">
        <f>IF(INPUT!$C$54=2,MAX(AX85,0),MIN(AX90,MAX(AX91,0)))</f>
        <v>0</v>
      </c>
      <c r="AY29" s="6">
        <f>IF(INPUT!$C$54=2,MAX(AY85,0),MIN(AY90,MAX(AY91,0)))</f>
        <v>0</v>
      </c>
      <c r="AZ29" s="6">
        <f>IF(INPUT!$C$54=2,MAX(AZ85,0),MIN(AZ90,MAX(AZ91,0)))</f>
        <v>0</v>
      </c>
      <c r="BA29" s="6">
        <f>IF(INPUT!$C$54=2,MAX(BA85,0),MIN(BA90,MAX(BA91,0)))</f>
        <v>0</v>
      </c>
      <c r="BB29" s="6">
        <f>IF(INPUT!$C$54=2,MAX(BB85,0),MIN(BB90,MAX(BB91,0)))</f>
        <v>0</v>
      </c>
      <c r="BC29" s="6">
        <f>IF(INPUT!$C$54=2,MAX(BC85,0),MIN(BC90,MAX(BC91,0)))</f>
        <v>0</v>
      </c>
      <c r="BD29" s="6">
        <f>IF(INPUT!$C$54=2,MAX(BD85,0),MIN(BD90,MAX(BD91,0)))</f>
        <v>0</v>
      </c>
      <c r="BE29" s="6">
        <f>IF(INPUT!$C$54=2,MAX(BE85,0),MIN(BE90,MAX(BE91,0)))</f>
        <v>0</v>
      </c>
      <c r="BF29" s="6">
        <f>IF(INPUT!$C$54=2,MAX(BF85,0),MIN(BF90,MAX(BF91,0)))</f>
        <v>0</v>
      </c>
      <c r="BG29" s="6">
        <f>IF(INPUT!$C$54=2,MAX(BG85,0),MIN(BG90,MAX(BG91,0)))</f>
        <v>0</v>
      </c>
      <c r="BH29" s="6">
        <f>IF(INPUT!$C$54=2,MAX(BH85,0),MIN(BH90,MAX(BH91,0)))</f>
        <v>0</v>
      </c>
      <c r="BI29" s="6">
        <f>IF(INPUT!$C$54=2,MAX(BI85,0),MIN(BI90,MAX(BI91,0)))</f>
        <v>0</v>
      </c>
      <c r="BJ29" s="6">
        <f>IF(INPUT!$C$54=2,MAX(BJ85,0),MIN(BJ90,MAX(BJ91,0)))</f>
        <v>0</v>
      </c>
      <c r="BK29" s="6">
        <f>IF(INPUT!$C$54=2,MAX(BK85,0),MIN(BK90,MAX(BK91,0)))</f>
        <v>0</v>
      </c>
    </row>
    <row r="30" spans="2:63" x14ac:dyDescent="0.25">
      <c r="B30" s="1" t="s">
        <v>323</v>
      </c>
      <c r="C30" s="6">
        <f t="shared" si="0"/>
        <v>512984969875</v>
      </c>
      <c r="D30" s="6">
        <f t="shared" ref="D30:AI30" si="9">MIN(D88+D29,D92)</f>
        <v>0</v>
      </c>
      <c r="E30" s="6">
        <f t="shared" si="9"/>
        <v>0</v>
      </c>
      <c r="F30" s="6">
        <f t="shared" si="9"/>
        <v>0</v>
      </c>
      <c r="G30" s="6">
        <f t="shared" si="9"/>
        <v>479737652887.5</v>
      </c>
      <c r="H30" s="6">
        <f t="shared" si="9"/>
        <v>33247316987.5</v>
      </c>
      <c r="I30" s="6">
        <f t="shared" si="9"/>
        <v>0</v>
      </c>
      <c r="J30" s="6">
        <f t="shared" si="9"/>
        <v>0</v>
      </c>
      <c r="K30" s="6">
        <f t="shared" si="9"/>
        <v>0</v>
      </c>
      <c r="L30" s="6">
        <f t="shared" si="9"/>
        <v>0</v>
      </c>
      <c r="M30" s="6">
        <f t="shared" si="9"/>
        <v>0</v>
      </c>
      <c r="N30" s="6">
        <f t="shared" si="9"/>
        <v>0</v>
      </c>
      <c r="O30" s="6">
        <f t="shared" si="9"/>
        <v>0</v>
      </c>
      <c r="P30" s="6">
        <f t="shared" si="9"/>
        <v>0</v>
      </c>
      <c r="Q30" s="6">
        <f t="shared" si="9"/>
        <v>0</v>
      </c>
      <c r="R30" s="6">
        <f t="shared" si="9"/>
        <v>0</v>
      </c>
      <c r="S30" s="6">
        <f t="shared" si="9"/>
        <v>0</v>
      </c>
      <c r="T30" s="6">
        <f t="shared" si="9"/>
        <v>0</v>
      </c>
      <c r="U30" s="6">
        <f t="shared" si="9"/>
        <v>0</v>
      </c>
      <c r="V30" s="6">
        <f t="shared" si="9"/>
        <v>0</v>
      </c>
      <c r="W30" s="6">
        <f t="shared" si="9"/>
        <v>0</v>
      </c>
      <c r="X30" s="6">
        <f t="shared" si="9"/>
        <v>0</v>
      </c>
      <c r="Y30" s="6">
        <f t="shared" si="9"/>
        <v>0</v>
      </c>
      <c r="Z30" s="6">
        <f t="shared" si="9"/>
        <v>0</v>
      </c>
      <c r="AA30" s="6">
        <f t="shared" si="9"/>
        <v>0</v>
      </c>
      <c r="AB30" s="6">
        <f t="shared" si="9"/>
        <v>0</v>
      </c>
      <c r="AC30" s="6">
        <f t="shared" si="9"/>
        <v>0</v>
      </c>
      <c r="AD30" s="6">
        <f t="shared" si="9"/>
        <v>0</v>
      </c>
      <c r="AE30" s="6">
        <f t="shared" si="9"/>
        <v>0</v>
      </c>
      <c r="AF30" s="6">
        <f t="shared" si="9"/>
        <v>0</v>
      </c>
      <c r="AG30" s="6">
        <f t="shared" si="9"/>
        <v>0</v>
      </c>
      <c r="AH30" s="6">
        <f t="shared" si="9"/>
        <v>0</v>
      </c>
      <c r="AI30" s="6">
        <f t="shared" si="9"/>
        <v>0</v>
      </c>
      <c r="AJ30" s="6">
        <f t="shared" ref="AJ30:BK30" si="10">MIN(AJ88+AJ29,AJ92)</f>
        <v>0</v>
      </c>
      <c r="AK30" s="6">
        <f t="shared" si="10"/>
        <v>0</v>
      </c>
      <c r="AL30" s="6">
        <f t="shared" si="10"/>
        <v>0</v>
      </c>
      <c r="AM30" s="6">
        <f t="shared" si="10"/>
        <v>0</v>
      </c>
      <c r="AN30" s="6">
        <f t="shared" si="10"/>
        <v>0</v>
      </c>
      <c r="AO30" s="6">
        <f t="shared" si="10"/>
        <v>0</v>
      </c>
      <c r="AP30" s="6">
        <f t="shared" si="10"/>
        <v>0</v>
      </c>
      <c r="AQ30" s="6">
        <f t="shared" si="10"/>
        <v>0</v>
      </c>
      <c r="AR30" s="6">
        <f t="shared" si="10"/>
        <v>0</v>
      </c>
      <c r="AS30" s="6">
        <f t="shared" si="10"/>
        <v>0</v>
      </c>
      <c r="AT30" s="6">
        <f t="shared" si="10"/>
        <v>0</v>
      </c>
      <c r="AU30" s="6">
        <f t="shared" si="10"/>
        <v>0</v>
      </c>
      <c r="AV30" s="6">
        <f t="shared" si="10"/>
        <v>0</v>
      </c>
      <c r="AW30" s="6">
        <f t="shared" si="10"/>
        <v>0</v>
      </c>
      <c r="AX30" s="6">
        <f t="shared" si="10"/>
        <v>0</v>
      </c>
      <c r="AY30" s="6">
        <f t="shared" si="10"/>
        <v>0</v>
      </c>
      <c r="AZ30" s="6">
        <f t="shared" si="10"/>
        <v>0</v>
      </c>
      <c r="BA30" s="6">
        <f t="shared" si="10"/>
        <v>0</v>
      </c>
      <c r="BB30" s="6">
        <f t="shared" si="10"/>
        <v>0</v>
      </c>
      <c r="BC30" s="6">
        <f t="shared" si="10"/>
        <v>0</v>
      </c>
      <c r="BD30" s="6">
        <f t="shared" si="10"/>
        <v>0</v>
      </c>
      <c r="BE30" s="6">
        <f t="shared" si="10"/>
        <v>0</v>
      </c>
      <c r="BF30" s="6">
        <f t="shared" si="10"/>
        <v>0</v>
      </c>
      <c r="BG30" s="6">
        <f t="shared" si="10"/>
        <v>0</v>
      </c>
      <c r="BH30" s="6">
        <f t="shared" si="10"/>
        <v>0</v>
      </c>
      <c r="BI30" s="6">
        <f t="shared" si="10"/>
        <v>0</v>
      </c>
      <c r="BJ30" s="6">
        <f t="shared" si="10"/>
        <v>0</v>
      </c>
      <c r="BK30" s="6">
        <f t="shared" si="10"/>
        <v>0</v>
      </c>
    </row>
    <row r="31" spans="2:63" x14ac:dyDescent="0.25">
      <c r="B31" s="1" t="s">
        <v>324</v>
      </c>
      <c r="C31" s="6">
        <f t="shared" si="0"/>
        <v>324419667950</v>
      </c>
      <c r="D31" s="6">
        <f t="shared" ref="D31:AI31" si="11">D88+D29-D30</f>
        <v>0</v>
      </c>
      <c r="E31" s="6">
        <f t="shared" si="11"/>
        <v>0</v>
      </c>
      <c r="F31" s="6">
        <f t="shared" si="11"/>
        <v>324419667950</v>
      </c>
      <c r="G31" s="6">
        <f t="shared" si="11"/>
        <v>0</v>
      </c>
      <c r="H31" s="6">
        <f t="shared" si="11"/>
        <v>0</v>
      </c>
      <c r="I31" s="6">
        <f t="shared" si="11"/>
        <v>0</v>
      </c>
      <c r="J31" s="6">
        <f t="shared" si="11"/>
        <v>0</v>
      </c>
      <c r="K31" s="6">
        <f t="shared" si="11"/>
        <v>0</v>
      </c>
      <c r="L31" s="6">
        <f t="shared" si="11"/>
        <v>0</v>
      </c>
      <c r="M31" s="6">
        <f t="shared" si="11"/>
        <v>0</v>
      </c>
      <c r="N31" s="6">
        <f t="shared" si="11"/>
        <v>0</v>
      </c>
      <c r="O31" s="6">
        <f t="shared" si="11"/>
        <v>0</v>
      </c>
      <c r="P31" s="6">
        <f t="shared" si="11"/>
        <v>0</v>
      </c>
      <c r="Q31" s="6">
        <f t="shared" si="11"/>
        <v>0</v>
      </c>
      <c r="R31" s="6">
        <f t="shared" si="11"/>
        <v>0</v>
      </c>
      <c r="S31" s="6">
        <f t="shared" si="11"/>
        <v>0</v>
      </c>
      <c r="T31" s="6">
        <f t="shared" si="11"/>
        <v>0</v>
      </c>
      <c r="U31" s="6">
        <f t="shared" si="11"/>
        <v>0</v>
      </c>
      <c r="V31" s="6">
        <f t="shared" si="11"/>
        <v>0</v>
      </c>
      <c r="W31" s="6">
        <f t="shared" si="11"/>
        <v>0</v>
      </c>
      <c r="X31" s="6">
        <f t="shared" si="11"/>
        <v>0</v>
      </c>
      <c r="Y31" s="6">
        <f t="shared" si="11"/>
        <v>0</v>
      </c>
      <c r="Z31" s="6">
        <f t="shared" si="11"/>
        <v>0</v>
      </c>
      <c r="AA31" s="6">
        <f t="shared" si="11"/>
        <v>0</v>
      </c>
      <c r="AB31" s="6">
        <f t="shared" si="11"/>
        <v>0</v>
      </c>
      <c r="AC31" s="6">
        <f t="shared" si="11"/>
        <v>0</v>
      </c>
      <c r="AD31" s="6">
        <f t="shared" si="11"/>
        <v>0</v>
      </c>
      <c r="AE31" s="6">
        <f t="shared" si="11"/>
        <v>0</v>
      </c>
      <c r="AF31" s="6">
        <f t="shared" si="11"/>
        <v>0</v>
      </c>
      <c r="AG31" s="6">
        <f t="shared" si="11"/>
        <v>0</v>
      </c>
      <c r="AH31" s="6">
        <f t="shared" si="11"/>
        <v>0</v>
      </c>
      <c r="AI31" s="6">
        <f t="shared" si="11"/>
        <v>0</v>
      </c>
      <c r="AJ31" s="6">
        <f t="shared" ref="AJ31:BK31" si="12">AJ88+AJ29-AJ30</f>
        <v>0</v>
      </c>
      <c r="AK31" s="6">
        <f t="shared" si="12"/>
        <v>0</v>
      </c>
      <c r="AL31" s="6">
        <f t="shared" si="12"/>
        <v>0</v>
      </c>
      <c r="AM31" s="6">
        <f t="shared" si="12"/>
        <v>0</v>
      </c>
      <c r="AN31" s="6">
        <f t="shared" si="12"/>
        <v>0</v>
      </c>
      <c r="AO31" s="6">
        <f t="shared" si="12"/>
        <v>0</v>
      </c>
      <c r="AP31" s="6">
        <f t="shared" si="12"/>
        <v>0</v>
      </c>
      <c r="AQ31" s="6">
        <f t="shared" si="12"/>
        <v>0</v>
      </c>
      <c r="AR31" s="6">
        <f t="shared" si="12"/>
        <v>0</v>
      </c>
      <c r="AS31" s="6">
        <f t="shared" si="12"/>
        <v>0</v>
      </c>
      <c r="AT31" s="6">
        <f t="shared" si="12"/>
        <v>0</v>
      </c>
      <c r="AU31" s="6">
        <f t="shared" si="12"/>
        <v>0</v>
      </c>
      <c r="AV31" s="6">
        <f t="shared" si="12"/>
        <v>0</v>
      </c>
      <c r="AW31" s="6">
        <f t="shared" si="12"/>
        <v>0</v>
      </c>
      <c r="AX31" s="6">
        <f t="shared" si="12"/>
        <v>0</v>
      </c>
      <c r="AY31" s="6">
        <f t="shared" si="12"/>
        <v>0</v>
      </c>
      <c r="AZ31" s="6">
        <f t="shared" si="12"/>
        <v>0</v>
      </c>
      <c r="BA31" s="6">
        <f t="shared" si="12"/>
        <v>0</v>
      </c>
      <c r="BB31" s="6">
        <f t="shared" si="12"/>
        <v>0</v>
      </c>
      <c r="BC31" s="6">
        <f t="shared" si="12"/>
        <v>0</v>
      </c>
      <c r="BD31" s="6">
        <f t="shared" si="12"/>
        <v>0</v>
      </c>
      <c r="BE31" s="6">
        <f t="shared" si="12"/>
        <v>0</v>
      </c>
      <c r="BF31" s="6">
        <f t="shared" si="12"/>
        <v>0</v>
      </c>
      <c r="BG31" s="6">
        <f t="shared" si="12"/>
        <v>0</v>
      </c>
      <c r="BH31" s="6">
        <f t="shared" si="12"/>
        <v>0</v>
      </c>
      <c r="BI31" s="6">
        <f t="shared" si="12"/>
        <v>0</v>
      </c>
      <c r="BJ31" s="6">
        <f t="shared" si="12"/>
        <v>0</v>
      </c>
      <c r="BK31" s="6">
        <f t="shared" si="12"/>
        <v>0</v>
      </c>
    </row>
    <row r="32" spans="2:63" x14ac:dyDescent="0.25">
      <c r="B32" s="2" t="s">
        <v>325</v>
      </c>
      <c r="C32" s="14">
        <f t="shared" si="0"/>
        <v>-50352459223.427246</v>
      </c>
      <c r="D32" s="14">
        <f t="shared" ref="D32:AI32" si="13">D27+D29-D30</f>
        <v>-200000000000</v>
      </c>
      <c r="E32" s="14">
        <f t="shared" si="13"/>
        <v>-215000000000</v>
      </c>
      <c r="F32" s="14">
        <f t="shared" si="13"/>
        <v>-80898691350</v>
      </c>
      <c r="G32" s="14">
        <f t="shared" si="13"/>
        <v>199351030308.24829</v>
      </c>
      <c r="H32" s="14">
        <f t="shared" si="13"/>
        <v>246195201818.32446</v>
      </c>
      <c r="I32" s="14">
        <f t="shared" si="13"/>
        <v>0</v>
      </c>
      <c r="J32" s="14">
        <f t="shared" si="13"/>
        <v>0</v>
      </c>
      <c r="K32" s="14">
        <f t="shared" si="13"/>
        <v>0</v>
      </c>
      <c r="L32" s="14">
        <f t="shared" si="13"/>
        <v>0</v>
      </c>
      <c r="M32" s="14">
        <f t="shared" si="13"/>
        <v>0</v>
      </c>
      <c r="N32" s="14">
        <f t="shared" si="13"/>
        <v>0</v>
      </c>
      <c r="O32" s="14">
        <f t="shared" si="13"/>
        <v>0</v>
      </c>
      <c r="P32" s="14">
        <f t="shared" si="13"/>
        <v>0</v>
      </c>
      <c r="Q32" s="14">
        <f t="shared" si="13"/>
        <v>0</v>
      </c>
      <c r="R32" s="14">
        <f t="shared" si="13"/>
        <v>0</v>
      </c>
      <c r="S32" s="14">
        <f t="shared" si="13"/>
        <v>0</v>
      </c>
      <c r="T32" s="14">
        <f t="shared" si="13"/>
        <v>0</v>
      </c>
      <c r="U32" s="14">
        <f t="shared" si="13"/>
        <v>0</v>
      </c>
      <c r="V32" s="14">
        <f t="shared" si="13"/>
        <v>0</v>
      </c>
      <c r="W32" s="14">
        <f t="shared" si="13"/>
        <v>0</v>
      </c>
      <c r="X32" s="14">
        <f t="shared" si="13"/>
        <v>0</v>
      </c>
      <c r="Y32" s="14">
        <f t="shared" si="13"/>
        <v>0</v>
      </c>
      <c r="Z32" s="14">
        <f t="shared" si="13"/>
        <v>0</v>
      </c>
      <c r="AA32" s="14">
        <f t="shared" si="13"/>
        <v>0</v>
      </c>
      <c r="AB32" s="14">
        <f t="shared" si="13"/>
        <v>0</v>
      </c>
      <c r="AC32" s="14">
        <f t="shared" si="13"/>
        <v>0</v>
      </c>
      <c r="AD32" s="14">
        <f t="shared" si="13"/>
        <v>0</v>
      </c>
      <c r="AE32" s="14">
        <f t="shared" si="13"/>
        <v>0</v>
      </c>
      <c r="AF32" s="14">
        <f t="shared" si="13"/>
        <v>0</v>
      </c>
      <c r="AG32" s="14">
        <f t="shared" si="13"/>
        <v>0</v>
      </c>
      <c r="AH32" s="14">
        <f t="shared" si="13"/>
        <v>0</v>
      </c>
      <c r="AI32" s="14">
        <f t="shared" si="13"/>
        <v>0</v>
      </c>
      <c r="AJ32" s="14">
        <f t="shared" ref="AJ32:BK32" si="14">AJ27+AJ29-AJ30</f>
        <v>0</v>
      </c>
      <c r="AK32" s="14">
        <f t="shared" si="14"/>
        <v>0</v>
      </c>
      <c r="AL32" s="14">
        <f t="shared" si="14"/>
        <v>0</v>
      </c>
      <c r="AM32" s="14">
        <f t="shared" si="14"/>
        <v>0</v>
      </c>
      <c r="AN32" s="14">
        <f t="shared" si="14"/>
        <v>0</v>
      </c>
      <c r="AO32" s="14">
        <f t="shared" si="14"/>
        <v>0</v>
      </c>
      <c r="AP32" s="14">
        <f t="shared" si="14"/>
        <v>0</v>
      </c>
      <c r="AQ32" s="14">
        <f t="shared" si="14"/>
        <v>0</v>
      </c>
      <c r="AR32" s="14">
        <f t="shared" si="14"/>
        <v>0</v>
      </c>
      <c r="AS32" s="14">
        <f t="shared" si="14"/>
        <v>0</v>
      </c>
      <c r="AT32" s="14">
        <f t="shared" si="14"/>
        <v>0</v>
      </c>
      <c r="AU32" s="14">
        <f t="shared" si="14"/>
        <v>0</v>
      </c>
      <c r="AV32" s="14">
        <f t="shared" si="14"/>
        <v>0</v>
      </c>
      <c r="AW32" s="14">
        <f t="shared" si="14"/>
        <v>0</v>
      </c>
      <c r="AX32" s="14">
        <f t="shared" si="14"/>
        <v>0</v>
      </c>
      <c r="AY32" s="14">
        <f t="shared" si="14"/>
        <v>0</v>
      </c>
      <c r="AZ32" s="14">
        <f t="shared" si="14"/>
        <v>0</v>
      </c>
      <c r="BA32" s="14">
        <f t="shared" si="14"/>
        <v>0</v>
      </c>
      <c r="BB32" s="14">
        <f t="shared" si="14"/>
        <v>0</v>
      </c>
      <c r="BC32" s="14">
        <f t="shared" si="14"/>
        <v>0</v>
      </c>
      <c r="BD32" s="14">
        <f t="shared" si="14"/>
        <v>0</v>
      </c>
      <c r="BE32" s="14">
        <f t="shared" si="14"/>
        <v>0</v>
      </c>
      <c r="BF32" s="14">
        <f t="shared" si="14"/>
        <v>0</v>
      </c>
      <c r="BG32" s="14">
        <f t="shared" si="14"/>
        <v>0</v>
      </c>
      <c r="BH32" s="14">
        <f t="shared" si="14"/>
        <v>0</v>
      </c>
      <c r="BI32" s="14">
        <f t="shared" si="14"/>
        <v>0</v>
      </c>
      <c r="BJ32" s="14">
        <f t="shared" si="14"/>
        <v>0</v>
      </c>
      <c r="BK32" s="14">
        <f t="shared" si="14"/>
        <v>0</v>
      </c>
    </row>
    <row r="33" spans="2:63" x14ac:dyDescent="0.25">
      <c r="B33" s="4" t="s">
        <v>326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1</v>
      </c>
      <c r="H33" s="4" t="s">
        <v>1</v>
      </c>
      <c r="I33" s="4" t="s">
        <v>1</v>
      </c>
      <c r="J33" s="4" t="s">
        <v>1</v>
      </c>
      <c r="K33" s="4" t="s">
        <v>1</v>
      </c>
      <c r="L33" s="4" t="s">
        <v>1</v>
      </c>
      <c r="M33" s="4" t="s">
        <v>1</v>
      </c>
      <c r="N33" s="4" t="s">
        <v>1</v>
      </c>
      <c r="O33" s="4" t="s">
        <v>1</v>
      </c>
      <c r="P33" s="4" t="s">
        <v>1</v>
      </c>
      <c r="Q33" s="4" t="s">
        <v>1</v>
      </c>
      <c r="R33" s="4" t="s">
        <v>1</v>
      </c>
      <c r="S33" s="4" t="s">
        <v>1</v>
      </c>
      <c r="T33" s="4" t="s">
        <v>1</v>
      </c>
      <c r="U33" s="4" t="s">
        <v>1</v>
      </c>
      <c r="V33" s="4" t="s">
        <v>1</v>
      </c>
      <c r="W33" s="4" t="s">
        <v>1</v>
      </c>
      <c r="X33" s="4" t="s">
        <v>1</v>
      </c>
      <c r="Y33" s="4" t="s">
        <v>1</v>
      </c>
      <c r="Z33" s="4" t="s">
        <v>1</v>
      </c>
      <c r="AA33" s="4" t="s">
        <v>1</v>
      </c>
      <c r="AB33" s="4" t="s">
        <v>1</v>
      </c>
      <c r="AC33" s="4" t="s">
        <v>1</v>
      </c>
      <c r="AD33" s="4" t="s">
        <v>1</v>
      </c>
      <c r="AE33" s="4" t="s">
        <v>1</v>
      </c>
      <c r="AF33" s="4" t="s">
        <v>1</v>
      </c>
      <c r="AG33" s="4" t="s">
        <v>1</v>
      </c>
      <c r="AH33" s="4" t="s">
        <v>1</v>
      </c>
      <c r="AI33" s="4" t="s">
        <v>1</v>
      </c>
      <c r="AJ33" s="4" t="s">
        <v>1</v>
      </c>
      <c r="AK33" s="4" t="s">
        <v>1</v>
      </c>
      <c r="AL33" s="4" t="s">
        <v>1</v>
      </c>
      <c r="AM33" s="4" t="s">
        <v>1</v>
      </c>
      <c r="AN33" s="4" t="s">
        <v>1</v>
      </c>
      <c r="AO33" s="4" t="s">
        <v>1</v>
      </c>
      <c r="AP33" s="4" t="s">
        <v>1</v>
      </c>
      <c r="AQ33" s="4" t="s">
        <v>1</v>
      </c>
      <c r="AR33" s="4" t="s">
        <v>1</v>
      </c>
      <c r="AS33" s="4" t="s">
        <v>1</v>
      </c>
      <c r="AT33" s="4" t="s">
        <v>1</v>
      </c>
      <c r="AU33" s="4" t="s">
        <v>1</v>
      </c>
      <c r="AV33" s="4" t="s">
        <v>1</v>
      </c>
      <c r="AW33" s="4" t="s">
        <v>1</v>
      </c>
      <c r="AX33" s="4" t="s">
        <v>1</v>
      </c>
      <c r="AY33" s="4" t="s">
        <v>1</v>
      </c>
      <c r="AZ33" s="4" t="s">
        <v>1</v>
      </c>
      <c r="BA33" s="4" t="s">
        <v>1</v>
      </c>
      <c r="BB33" s="4" t="s">
        <v>1</v>
      </c>
      <c r="BC33" s="4" t="s">
        <v>1</v>
      </c>
      <c r="BD33" s="4" t="s">
        <v>1</v>
      </c>
      <c r="BE33" s="4" t="s">
        <v>1</v>
      </c>
      <c r="BF33" s="4" t="s">
        <v>1</v>
      </c>
      <c r="BG33" s="4" t="s">
        <v>1</v>
      </c>
      <c r="BH33" s="4" t="s">
        <v>1</v>
      </c>
      <c r="BI33" s="4" t="s">
        <v>1</v>
      </c>
      <c r="BJ33" s="4" t="s">
        <v>1</v>
      </c>
      <c r="BK33" s="4" t="s">
        <v>1</v>
      </c>
    </row>
    <row r="34" spans="2:63" x14ac:dyDescent="0.25">
      <c r="B34" s="1" t="s">
        <v>327</v>
      </c>
      <c r="D34" s="6">
        <f>IF(TIENDO!C16&gt;0,$C$98*TIENDO!C16/100*$C$120*(1+$C$119)^(2026-$C$122),0)</f>
        <v>0</v>
      </c>
      <c r="E34" s="6">
        <f>IF(TIENDO!D16&gt;0,$C$98*TIENDO!D16/100*$C$120*(1+$C$119)^(2027-$C$122),0)</f>
        <v>0</v>
      </c>
      <c r="F34" s="6">
        <f>IF(TIENDO!E16&gt;0,$C$98*TIENDO!E16/100*$C$120*(1+$C$119)^(2028-$C$122),0)</f>
        <v>497266440000</v>
      </c>
      <c r="G34" s="6">
        <f>IF(TIENDO!F16&gt;0,$C$98*TIENDO!F16/100*$C$120*(1+$C$119)^(2029-$C$122),0)</f>
        <v>522129762000</v>
      </c>
      <c r="H34" s="6">
        <f>IF(TIENDO!G16&gt;0,$C$98*TIENDO!G16/100*$C$120*(1+$C$119)^(2030-$C$122),0)</f>
        <v>274118125050</v>
      </c>
      <c r="I34" s="6">
        <f>IF(TIENDO!H16&gt;0,$C$98*TIENDO!H16/100*$C$120*(1+$C$119)^(2031-$C$122),0)</f>
        <v>0</v>
      </c>
      <c r="J34" s="6">
        <f>IF(TIENDO!I16&gt;0,$C$98*TIENDO!I16/100*$C$120*(1+$C$119)^(2032-$C$122),0)</f>
        <v>0</v>
      </c>
      <c r="K34" s="6">
        <f>IF(TIENDO!J16&gt;0,$C$98*TIENDO!J16/100*$C$120*(1+$C$119)^(2033-$C$122),0)</f>
        <v>0</v>
      </c>
      <c r="L34" s="6">
        <f>IF(TIENDO!K16&gt;0,$C$98*TIENDO!K16/100*$C$120*(1+$C$119)^(2034-$C$122),0)</f>
        <v>0</v>
      </c>
      <c r="M34" s="6">
        <f>IF(TIENDO!L16&gt;0,$C$98*TIENDO!L16/100*$C$120*(1+$C$119)^(2035-$C$122),0)</f>
        <v>0</v>
      </c>
      <c r="N34" s="6">
        <f>IF(TIENDO!M16&gt;0,$C$98*TIENDO!M16/100*$C$120*(1+$C$119)^(2036-$C$122),0)</f>
        <v>0</v>
      </c>
      <c r="O34" s="6">
        <f>IF(TIENDO!N16&gt;0,$C$98*TIENDO!N16/100*$C$120*(1+$C$119)^(2037-$C$122),0)</f>
        <v>0</v>
      </c>
      <c r="P34" s="6">
        <f>IF(TIENDO!O16&gt;0,$C$98*TIENDO!O16/100*$C$120*(1+$C$119)^(2038-$C$122),0)</f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</row>
    <row r="35" spans="2:63" x14ac:dyDescent="0.25">
      <c r="B35" s="1" t="s">
        <v>328</v>
      </c>
      <c r="D35" s="6">
        <f>IF(TIENDO!C17&gt;0,$C$99*TIENDO!C17/100*$C$121*(1+$C$119)^(2026-$C$123),0)</f>
        <v>0</v>
      </c>
      <c r="E35" s="6">
        <f>IF(TIENDO!D17&gt;0,$C$99*TIENDO!D17/100*$C$121*(1+$C$119)^(2027-$C$123),0)</f>
        <v>0</v>
      </c>
      <c r="F35" s="6">
        <f>IF(TIENDO!E17&gt;0,$C$99*TIENDO!E17/100*$C$121*(1+$C$119)^(2028-$C$123),0)</f>
        <v>72346560000</v>
      </c>
      <c r="G35" s="6">
        <f>IF(TIENDO!F17&gt;0,$C$99*TIENDO!F17/100*$C$121*(1+$C$119)^(2029-$C$123),0)</f>
        <v>75963888000</v>
      </c>
      <c r="H35" s="6">
        <f>IF(TIENDO!G17&gt;0,$C$99*TIENDO!G17/100*$C$121*(1+$C$119)^(2030-$C$123),0)</f>
        <v>39881041200</v>
      </c>
      <c r="I35" s="6">
        <f>IF(TIENDO!H17&gt;0,$C$99*TIENDO!H17/100*$C$121*(1+$C$119)^(2031-$C$123),0)</f>
        <v>0</v>
      </c>
      <c r="J35" s="6">
        <f>IF(TIENDO!I17&gt;0,$C$99*TIENDO!I17/100*$C$121*(1+$C$119)^(2032-$C$123),0)</f>
        <v>0</v>
      </c>
      <c r="K35" s="6">
        <f>IF(TIENDO!J17&gt;0,$C$99*TIENDO!J17/100*$C$121*(1+$C$119)^(2033-$C$123),0)</f>
        <v>0</v>
      </c>
      <c r="L35" s="6">
        <f>IF(TIENDO!K17&gt;0,$C$99*TIENDO!K17/100*$C$121*(1+$C$119)^(2034-$C$123),0)</f>
        <v>0</v>
      </c>
      <c r="M35" s="6">
        <f>IF(TIENDO!L17&gt;0,$C$99*TIENDO!L17/100*$C$121*(1+$C$119)^(2035-$C$123),0)</f>
        <v>0</v>
      </c>
      <c r="N35" s="6">
        <f>IF(TIENDO!M17&gt;0,$C$99*TIENDO!M17/100*$C$121*(1+$C$119)^(2036-$C$123),0)</f>
        <v>0</v>
      </c>
      <c r="O35" s="6">
        <f>IF(TIENDO!N17&gt;0,$C$99*TIENDO!N17/100*$C$121*(1+$C$119)^(2037-$C$123),0)</f>
        <v>0</v>
      </c>
      <c r="P35" s="6">
        <f>IF(TIENDO!O17&gt;0,$C$99*TIENDO!O17/100*$C$121*(1+$C$119)^(2038-$C$123),0)</f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</row>
    <row r="36" spans="2:63" x14ac:dyDescent="0.25">
      <c r="B36" s="1" t="s">
        <v>329</v>
      </c>
      <c r="D36" s="6">
        <f t="shared" ref="D36:AI36" si="15">D34+D35</f>
        <v>0</v>
      </c>
      <c r="E36" s="6">
        <f t="shared" si="15"/>
        <v>0</v>
      </c>
      <c r="F36" s="6">
        <f t="shared" si="15"/>
        <v>569613000000</v>
      </c>
      <c r="G36" s="6">
        <f t="shared" si="15"/>
        <v>598093650000</v>
      </c>
      <c r="H36" s="6">
        <f t="shared" si="15"/>
        <v>313999166250</v>
      </c>
      <c r="I36" s="6">
        <f t="shared" si="15"/>
        <v>0</v>
      </c>
      <c r="J36" s="6">
        <f t="shared" si="15"/>
        <v>0</v>
      </c>
      <c r="K36" s="6">
        <f t="shared" si="15"/>
        <v>0</v>
      </c>
      <c r="L36" s="6">
        <f t="shared" si="15"/>
        <v>0</v>
      </c>
      <c r="M36" s="6">
        <f t="shared" si="15"/>
        <v>0</v>
      </c>
      <c r="N36" s="6">
        <f t="shared" si="15"/>
        <v>0</v>
      </c>
      <c r="O36" s="6">
        <f t="shared" si="15"/>
        <v>0</v>
      </c>
      <c r="P36" s="6">
        <f t="shared" si="15"/>
        <v>0</v>
      </c>
      <c r="Q36" s="6">
        <f t="shared" si="15"/>
        <v>0</v>
      </c>
      <c r="R36" s="6">
        <f t="shared" si="15"/>
        <v>0</v>
      </c>
      <c r="S36" s="6">
        <f t="shared" si="15"/>
        <v>0</v>
      </c>
      <c r="T36" s="6">
        <f t="shared" si="15"/>
        <v>0</v>
      </c>
      <c r="U36" s="6">
        <f t="shared" si="15"/>
        <v>0</v>
      </c>
      <c r="V36" s="6">
        <f t="shared" si="15"/>
        <v>0</v>
      </c>
      <c r="W36" s="6">
        <f t="shared" si="15"/>
        <v>0</v>
      </c>
      <c r="X36" s="6">
        <f t="shared" si="15"/>
        <v>0</v>
      </c>
      <c r="Y36" s="6">
        <f t="shared" si="15"/>
        <v>0</v>
      </c>
      <c r="Z36" s="6">
        <f t="shared" si="15"/>
        <v>0</v>
      </c>
      <c r="AA36" s="6">
        <f t="shared" si="15"/>
        <v>0</v>
      </c>
      <c r="AB36" s="6">
        <f t="shared" si="15"/>
        <v>0</v>
      </c>
      <c r="AC36" s="6">
        <f t="shared" si="15"/>
        <v>0</v>
      </c>
      <c r="AD36" s="6">
        <f t="shared" si="15"/>
        <v>0</v>
      </c>
      <c r="AE36" s="6">
        <f t="shared" si="15"/>
        <v>0</v>
      </c>
      <c r="AF36" s="6">
        <f t="shared" si="15"/>
        <v>0</v>
      </c>
      <c r="AG36" s="6">
        <f t="shared" si="15"/>
        <v>0</v>
      </c>
      <c r="AH36" s="6">
        <f t="shared" si="15"/>
        <v>0</v>
      </c>
      <c r="AI36" s="6">
        <f t="shared" si="15"/>
        <v>0</v>
      </c>
      <c r="AJ36" s="6">
        <f t="shared" ref="AJ36:BK36" si="16">AJ34+AJ35</f>
        <v>0</v>
      </c>
      <c r="AK36" s="6">
        <f t="shared" si="16"/>
        <v>0</v>
      </c>
      <c r="AL36" s="6">
        <f t="shared" si="16"/>
        <v>0</v>
      </c>
      <c r="AM36" s="6">
        <f t="shared" si="16"/>
        <v>0</v>
      </c>
      <c r="AN36" s="6">
        <f t="shared" si="16"/>
        <v>0</v>
      </c>
      <c r="AO36" s="6">
        <f t="shared" si="16"/>
        <v>0</v>
      </c>
      <c r="AP36" s="6">
        <f t="shared" si="16"/>
        <v>0</v>
      </c>
      <c r="AQ36" s="6">
        <f t="shared" si="16"/>
        <v>0</v>
      </c>
      <c r="AR36" s="6">
        <f t="shared" si="16"/>
        <v>0</v>
      </c>
      <c r="AS36" s="6">
        <f t="shared" si="16"/>
        <v>0</v>
      </c>
      <c r="AT36" s="6">
        <f t="shared" si="16"/>
        <v>0</v>
      </c>
      <c r="AU36" s="6">
        <f t="shared" si="16"/>
        <v>0</v>
      </c>
      <c r="AV36" s="6">
        <f t="shared" si="16"/>
        <v>0</v>
      </c>
      <c r="AW36" s="6">
        <f t="shared" si="16"/>
        <v>0</v>
      </c>
      <c r="AX36" s="6">
        <f t="shared" si="16"/>
        <v>0</v>
      </c>
      <c r="AY36" s="6">
        <f t="shared" si="16"/>
        <v>0</v>
      </c>
      <c r="AZ36" s="6">
        <f t="shared" si="16"/>
        <v>0</v>
      </c>
      <c r="BA36" s="6">
        <f t="shared" si="16"/>
        <v>0</v>
      </c>
      <c r="BB36" s="6">
        <f t="shared" si="16"/>
        <v>0</v>
      </c>
      <c r="BC36" s="6">
        <f t="shared" si="16"/>
        <v>0</v>
      </c>
      <c r="BD36" s="6">
        <f t="shared" si="16"/>
        <v>0</v>
      </c>
      <c r="BE36" s="6">
        <f t="shared" si="16"/>
        <v>0</v>
      </c>
      <c r="BF36" s="6">
        <f t="shared" si="16"/>
        <v>0</v>
      </c>
      <c r="BG36" s="6">
        <f t="shared" si="16"/>
        <v>0</v>
      </c>
      <c r="BH36" s="6">
        <f t="shared" si="16"/>
        <v>0</v>
      </c>
      <c r="BI36" s="6">
        <f t="shared" si="16"/>
        <v>0</v>
      </c>
      <c r="BJ36" s="6">
        <f t="shared" si="16"/>
        <v>0</v>
      </c>
      <c r="BK36" s="6">
        <f t="shared" si="16"/>
        <v>0</v>
      </c>
    </row>
    <row r="37" spans="2:63" x14ac:dyDescent="0.25">
      <c r="B37" s="1" t="s">
        <v>330</v>
      </c>
      <c r="D37" s="6">
        <f>D34*TIENDO!C20/100+D35*TIENDO!C36/100</f>
        <v>0</v>
      </c>
      <c r="E37" s="6">
        <f>D34*TIENDO!D20/100+D35*TIENDO!D36/100</f>
        <v>0</v>
      </c>
      <c r="F37" s="6">
        <f>D34*TIENDO!E20/100+D35*TIENDO!E36/100</f>
        <v>0</v>
      </c>
      <c r="G37" s="6">
        <f>D34*TIENDO!F20/100+D35*TIENDO!F36/100</f>
        <v>0</v>
      </c>
      <c r="H37" s="6">
        <f>D34*TIENDO!G20/100+D35*TIENDO!G36/100</f>
        <v>0</v>
      </c>
      <c r="I37" s="6">
        <f>D34*TIENDO!H20/100+D35*TIENDO!H36/100</f>
        <v>0</v>
      </c>
      <c r="J37" s="6">
        <f>D34*TIENDO!I20/100+D35*TIENDO!I36/100</f>
        <v>0</v>
      </c>
      <c r="K37" s="6">
        <f>D34*TIENDO!J20/100+D35*TIENDO!J36/100</f>
        <v>0</v>
      </c>
      <c r="L37" s="6">
        <f>D34*TIENDO!K20/100+D35*TIENDO!K36/100</f>
        <v>0</v>
      </c>
      <c r="M37" s="6">
        <f>D34*TIENDO!L20/100+D35*TIENDO!L36/100</f>
        <v>0</v>
      </c>
      <c r="N37" s="6">
        <f>D34*TIENDO!M20/100+D35*TIENDO!M36/100</f>
        <v>0</v>
      </c>
      <c r="O37" s="6">
        <f>D34*TIENDO!N20/100+D35*TIENDO!N36/100</f>
        <v>0</v>
      </c>
      <c r="P37" s="6">
        <f>D34*TIENDO!O20/100+D35*TIENDO!O36/100</f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</row>
    <row r="38" spans="2:63" x14ac:dyDescent="0.25">
      <c r="B38" s="1" t="s">
        <v>331</v>
      </c>
      <c r="D38" s="6">
        <f>E34*TIENDO!C21/100+E35*TIENDO!C37/100</f>
        <v>0</v>
      </c>
      <c r="E38" s="6">
        <f>E34*TIENDO!D21/100+E35*TIENDO!D37/100</f>
        <v>0</v>
      </c>
      <c r="F38" s="6">
        <f>E34*TIENDO!E21/100+E35*TIENDO!E37/100</f>
        <v>0</v>
      </c>
      <c r="G38" s="6">
        <f>E34*TIENDO!F21/100+E35*TIENDO!F37/100</f>
        <v>0</v>
      </c>
      <c r="H38" s="6">
        <f>E34*TIENDO!G21/100+E35*TIENDO!G37/100</f>
        <v>0</v>
      </c>
      <c r="I38" s="6">
        <f>E34*TIENDO!H21/100+E35*TIENDO!H37/100</f>
        <v>0</v>
      </c>
      <c r="J38" s="6">
        <f>E34*TIENDO!I21/100+E35*TIENDO!I37/100</f>
        <v>0</v>
      </c>
      <c r="K38" s="6">
        <f>E34*TIENDO!J21/100+E35*TIENDO!J37/100</f>
        <v>0</v>
      </c>
      <c r="L38" s="6">
        <f>E34*TIENDO!K21/100+E35*TIENDO!K37/100</f>
        <v>0</v>
      </c>
      <c r="M38" s="6">
        <f>E34*TIENDO!L21/100+E35*TIENDO!L37/100</f>
        <v>0</v>
      </c>
      <c r="N38" s="6">
        <f>E34*TIENDO!M21/100+E35*TIENDO!M37/100</f>
        <v>0</v>
      </c>
      <c r="O38" s="6">
        <f>E34*TIENDO!N21/100+E35*TIENDO!N37/100</f>
        <v>0</v>
      </c>
      <c r="P38" s="6">
        <f>E34*TIENDO!O21/100+E35*TIENDO!O37/100</f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</row>
    <row r="39" spans="2:63" x14ac:dyDescent="0.25">
      <c r="B39" s="1" t="s">
        <v>332</v>
      </c>
      <c r="D39" s="6">
        <f>F34*TIENDO!C22/100+F35*TIENDO!C38/100</f>
        <v>0</v>
      </c>
      <c r="E39" s="6">
        <f>F34*TIENDO!D22/100+F35*TIENDO!D38/100</f>
        <v>0</v>
      </c>
      <c r="F39" s="6">
        <f>F34*TIENDO!E22/100+F35*TIENDO!E38/100</f>
        <v>170883900000</v>
      </c>
      <c r="G39" s="6">
        <f>F34*TIENDO!F22/100+F35*TIENDO!F38/100</f>
        <v>370248450000</v>
      </c>
      <c r="H39" s="6">
        <f>F34*TIENDO!G22/100+F35*TIENDO!G38/100</f>
        <v>28480650000</v>
      </c>
      <c r="I39" s="6">
        <f>F34*TIENDO!H22/100+F35*TIENDO!H38/100</f>
        <v>0</v>
      </c>
      <c r="J39" s="6">
        <f>F34*TIENDO!I22/100+F35*TIENDO!I38/100</f>
        <v>0</v>
      </c>
      <c r="K39" s="6">
        <f>F34*TIENDO!J22/100+F35*TIENDO!J38/100</f>
        <v>0</v>
      </c>
      <c r="L39" s="6">
        <f>F34*TIENDO!K22/100+F35*TIENDO!K38/100</f>
        <v>0</v>
      </c>
      <c r="M39" s="6">
        <f>F34*TIENDO!L22/100+F35*TIENDO!L38/100</f>
        <v>0</v>
      </c>
      <c r="N39" s="6">
        <f>F34*TIENDO!M22/100+F35*TIENDO!M38/100</f>
        <v>0</v>
      </c>
      <c r="O39" s="6">
        <f>F34*TIENDO!N22/100+F35*TIENDO!N38/100</f>
        <v>0</v>
      </c>
      <c r="P39" s="6">
        <f>F34*TIENDO!O22/100+F35*TIENDO!O38/100</f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</row>
    <row r="40" spans="2:63" x14ac:dyDescent="0.25">
      <c r="B40" s="1" t="s">
        <v>333</v>
      </c>
      <c r="D40" s="6">
        <f>G34*TIENDO!C23/100+G35*TIENDO!C39/100</f>
        <v>0</v>
      </c>
      <c r="E40" s="6">
        <f>G34*TIENDO!D23/100+G35*TIENDO!D39/100</f>
        <v>0</v>
      </c>
      <c r="F40" s="6">
        <f>G34*TIENDO!E23/100+G35*TIENDO!E39/100</f>
        <v>0</v>
      </c>
      <c r="G40" s="6">
        <f>G34*TIENDO!F23/100+G35*TIENDO!F39/100</f>
        <v>568188967500</v>
      </c>
      <c r="H40" s="6">
        <f>G34*TIENDO!G23/100+G35*TIENDO!G39/100</f>
        <v>29904682500</v>
      </c>
      <c r="I40" s="6">
        <f>G34*TIENDO!H23/100+G35*TIENDO!H39/100</f>
        <v>0</v>
      </c>
      <c r="J40" s="6">
        <f>G34*TIENDO!I23/100+G35*TIENDO!I39/100</f>
        <v>0</v>
      </c>
      <c r="K40" s="6">
        <f>G34*TIENDO!J23/100+G35*TIENDO!J39/100</f>
        <v>0</v>
      </c>
      <c r="L40" s="6">
        <f>G34*TIENDO!K23/100+G35*TIENDO!K39/100</f>
        <v>0</v>
      </c>
      <c r="M40" s="6">
        <f>G34*TIENDO!L23/100+G35*TIENDO!L39/100</f>
        <v>0</v>
      </c>
      <c r="N40" s="6">
        <f>G34*TIENDO!M23/100+G35*TIENDO!M39/100</f>
        <v>0</v>
      </c>
      <c r="O40" s="6">
        <f>G34*TIENDO!N23/100+G35*TIENDO!N39/100</f>
        <v>0</v>
      </c>
      <c r="P40" s="6">
        <f>G34*TIENDO!O23/100+G35*TIENDO!O39/100</f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</row>
    <row r="41" spans="2:63" x14ac:dyDescent="0.25">
      <c r="B41" s="1" t="s">
        <v>334</v>
      </c>
      <c r="D41" s="6">
        <f>H34*TIENDO!C24/100+H35*TIENDO!C40/100</f>
        <v>0</v>
      </c>
      <c r="E41" s="6">
        <f>H34*TIENDO!D24/100+H35*TIENDO!D40/100</f>
        <v>0</v>
      </c>
      <c r="F41" s="6">
        <f>H34*TIENDO!E24/100+H35*TIENDO!E40/100</f>
        <v>0</v>
      </c>
      <c r="G41" s="6">
        <f>H34*TIENDO!F24/100+H35*TIENDO!F40/100</f>
        <v>0</v>
      </c>
      <c r="H41" s="6">
        <f>H34*TIENDO!G24/100+H35*TIENDO!G40/100</f>
        <v>313999166250</v>
      </c>
      <c r="I41" s="6">
        <f>H34*TIENDO!H24/100+H35*TIENDO!H40/100</f>
        <v>0</v>
      </c>
      <c r="J41" s="6">
        <f>H34*TIENDO!I24/100+H35*TIENDO!I40/100</f>
        <v>0</v>
      </c>
      <c r="K41" s="6">
        <f>H34*TIENDO!J24/100+H35*TIENDO!J40/100</f>
        <v>0</v>
      </c>
      <c r="L41" s="6">
        <f>H34*TIENDO!K24/100+H35*TIENDO!K40/100</f>
        <v>0</v>
      </c>
      <c r="M41" s="6">
        <f>H34*TIENDO!L24/100+H35*TIENDO!L40/100</f>
        <v>0</v>
      </c>
      <c r="N41" s="6">
        <f>H34*TIENDO!M24/100+H35*TIENDO!M40/100</f>
        <v>0</v>
      </c>
      <c r="O41" s="6">
        <f>H34*TIENDO!N24/100+H35*TIENDO!N40/100</f>
        <v>0</v>
      </c>
      <c r="P41" s="6">
        <f>H34*TIENDO!O24/100+H35*TIENDO!O40/100</f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</row>
    <row r="42" spans="2:63" x14ac:dyDescent="0.25">
      <c r="B42" s="1" t="s">
        <v>335</v>
      </c>
      <c r="D42" s="6">
        <f>I34*TIENDO!C25/100+I35*TIENDO!C41/100</f>
        <v>0</v>
      </c>
      <c r="E42" s="6">
        <f>I34*TIENDO!D25/100+I35*TIENDO!D41/100</f>
        <v>0</v>
      </c>
      <c r="F42" s="6">
        <f>I34*TIENDO!E25/100+I35*TIENDO!E41/100</f>
        <v>0</v>
      </c>
      <c r="G42" s="6">
        <f>I34*TIENDO!F25/100+I35*TIENDO!F41/100</f>
        <v>0</v>
      </c>
      <c r="H42" s="6">
        <f>I34*TIENDO!G25/100+I35*TIENDO!G41/100</f>
        <v>0</v>
      </c>
      <c r="I42" s="6">
        <f>I34*TIENDO!H25/100+I35*TIENDO!H41/100</f>
        <v>0</v>
      </c>
      <c r="J42" s="6">
        <f>I34*TIENDO!I25/100+I35*TIENDO!I41/100</f>
        <v>0</v>
      </c>
      <c r="K42" s="6">
        <f>I34*TIENDO!J25/100+I35*TIENDO!J41/100</f>
        <v>0</v>
      </c>
      <c r="L42" s="6">
        <f>I34*TIENDO!K25/100+I35*TIENDO!K41/100</f>
        <v>0</v>
      </c>
      <c r="M42" s="6">
        <f>I34*TIENDO!L25/100+I35*TIENDO!L41/100</f>
        <v>0</v>
      </c>
      <c r="N42" s="6">
        <f>I34*TIENDO!M25/100+I35*TIENDO!M41/100</f>
        <v>0</v>
      </c>
      <c r="O42" s="6">
        <f>I34*TIENDO!N25/100+I35*TIENDO!N41/100</f>
        <v>0</v>
      </c>
      <c r="P42" s="6">
        <f>I34*TIENDO!O25/100+I35*TIENDO!O41/100</f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</row>
    <row r="43" spans="2:63" x14ac:dyDescent="0.25">
      <c r="B43" s="1" t="s">
        <v>336</v>
      </c>
      <c r="D43" s="6">
        <f>J34*TIENDO!C26/100+J35*TIENDO!C42/100</f>
        <v>0</v>
      </c>
      <c r="E43" s="6">
        <f>J34*TIENDO!D26/100+J35*TIENDO!D42/100</f>
        <v>0</v>
      </c>
      <c r="F43" s="6">
        <f>J34*TIENDO!E26/100+J35*TIENDO!E42/100</f>
        <v>0</v>
      </c>
      <c r="G43" s="6">
        <f>J34*TIENDO!F26/100+J35*TIENDO!F42/100</f>
        <v>0</v>
      </c>
      <c r="H43" s="6">
        <f>J34*TIENDO!G26/100+J35*TIENDO!G42/100</f>
        <v>0</v>
      </c>
      <c r="I43" s="6">
        <f>J34*TIENDO!H26/100+J35*TIENDO!H42/100</f>
        <v>0</v>
      </c>
      <c r="J43" s="6">
        <f>J34*TIENDO!I26/100+J35*TIENDO!I42/100</f>
        <v>0</v>
      </c>
      <c r="K43" s="6">
        <f>J34*TIENDO!J26/100+J35*TIENDO!J42/100</f>
        <v>0</v>
      </c>
      <c r="L43" s="6">
        <f>J34*TIENDO!K26/100+J35*TIENDO!K42/100</f>
        <v>0</v>
      </c>
      <c r="M43" s="6">
        <f>J34*TIENDO!L26/100+J35*TIENDO!L42/100</f>
        <v>0</v>
      </c>
      <c r="N43" s="6">
        <f>J34*TIENDO!M26/100+J35*TIENDO!M42/100</f>
        <v>0</v>
      </c>
      <c r="O43" s="6">
        <f>J34*TIENDO!N26/100+J35*TIENDO!N42/100</f>
        <v>0</v>
      </c>
      <c r="P43" s="6">
        <f>J34*TIENDO!O26/100+J35*TIENDO!O42/100</f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</row>
    <row r="44" spans="2:63" x14ac:dyDescent="0.25">
      <c r="B44" s="1" t="s">
        <v>337</v>
      </c>
      <c r="D44" s="6">
        <f>K34*TIENDO!C27/100+K35*TIENDO!C43/100</f>
        <v>0</v>
      </c>
      <c r="E44" s="6">
        <f>K34*TIENDO!D27/100+K35*TIENDO!D43/100</f>
        <v>0</v>
      </c>
      <c r="F44" s="6">
        <f>K34*TIENDO!E27/100+K35*TIENDO!E43/100</f>
        <v>0</v>
      </c>
      <c r="G44" s="6">
        <f>K34*TIENDO!F27/100+K35*TIENDO!F43/100</f>
        <v>0</v>
      </c>
      <c r="H44" s="6">
        <f>K34*TIENDO!G27/100+K35*TIENDO!G43/100</f>
        <v>0</v>
      </c>
      <c r="I44" s="6">
        <f>K34*TIENDO!H27/100+K35*TIENDO!H43/100</f>
        <v>0</v>
      </c>
      <c r="J44" s="6">
        <f>K34*TIENDO!I27/100+K35*TIENDO!I43/100</f>
        <v>0</v>
      </c>
      <c r="K44" s="6">
        <f>K34*TIENDO!J27/100+K35*TIENDO!J43/100</f>
        <v>0</v>
      </c>
      <c r="L44" s="6">
        <f>K34*TIENDO!K27/100+K35*TIENDO!K43/100</f>
        <v>0</v>
      </c>
      <c r="M44" s="6">
        <f>K34*TIENDO!L27/100+K35*TIENDO!L43/100</f>
        <v>0</v>
      </c>
      <c r="N44" s="6">
        <f>K34*TIENDO!M27/100+K35*TIENDO!M43/100</f>
        <v>0</v>
      </c>
      <c r="O44" s="6">
        <f>K34*TIENDO!N27/100+K35*TIENDO!N43/100</f>
        <v>0</v>
      </c>
      <c r="P44" s="6">
        <f>K34*TIENDO!O27/100+K35*TIENDO!O43/100</f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</row>
    <row r="45" spans="2:63" x14ac:dyDescent="0.25">
      <c r="B45" s="1" t="s">
        <v>338</v>
      </c>
      <c r="D45" s="6">
        <f>L34*TIENDO!C28/100+L35*TIENDO!C44/100</f>
        <v>0</v>
      </c>
      <c r="E45" s="6">
        <f>L34*TIENDO!D28/100+L35*TIENDO!D44/100</f>
        <v>0</v>
      </c>
      <c r="F45" s="6">
        <f>L34*TIENDO!E28/100+L35*TIENDO!E44/100</f>
        <v>0</v>
      </c>
      <c r="G45" s="6">
        <f>L34*TIENDO!F28/100+L35*TIENDO!F44/100</f>
        <v>0</v>
      </c>
      <c r="H45" s="6">
        <f>L34*TIENDO!G28/100+L35*TIENDO!G44/100</f>
        <v>0</v>
      </c>
      <c r="I45" s="6">
        <f>L34*TIENDO!H28/100+L35*TIENDO!H44/100</f>
        <v>0</v>
      </c>
      <c r="J45" s="6">
        <f>L34*TIENDO!I28/100+L35*TIENDO!I44/100</f>
        <v>0</v>
      </c>
      <c r="K45" s="6">
        <f>L34*TIENDO!J28/100+L35*TIENDO!J44/100</f>
        <v>0</v>
      </c>
      <c r="L45" s="6">
        <f>L34*TIENDO!K28/100+L35*TIENDO!K44/100</f>
        <v>0</v>
      </c>
      <c r="M45" s="6">
        <f>L34*TIENDO!L28/100+L35*TIENDO!L44/100</f>
        <v>0</v>
      </c>
      <c r="N45" s="6">
        <f>L34*TIENDO!M28/100+L35*TIENDO!M44/100</f>
        <v>0</v>
      </c>
      <c r="O45" s="6">
        <f>L34*TIENDO!N28/100+L35*TIENDO!N44/100</f>
        <v>0</v>
      </c>
      <c r="P45" s="6">
        <f>L34*TIENDO!O28/100+L35*TIENDO!O44/100</f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</row>
    <row r="46" spans="2:63" x14ac:dyDescent="0.25">
      <c r="B46" s="1" t="s">
        <v>339</v>
      </c>
      <c r="D46" s="6">
        <f>M34*TIENDO!C29/100+M35*TIENDO!C45/100</f>
        <v>0</v>
      </c>
      <c r="E46" s="6">
        <f>M34*TIENDO!D29/100+M35*TIENDO!D45/100</f>
        <v>0</v>
      </c>
      <c r="F46" s="6">
        <f>M34*TIENDO!E29/100+M35*TIENDO!E45/100</f>
        <v>0</v>
      </c>
      <c r="G46" s="6">
        <f>M34*TIENDO!F29/100+M35*TIENDO!F45/100</f>
        <v>0</v>
      </c>
      <c r="H46" s="6">
        <f>M34*TIENDO!G29/100+M35*TIENDO!G45/100</f>
        <v>0</v>
      </c>
      <c r="I46" s="6">
        <f>M34*TIENDO!H29/100+M35*TIENDO!H45/100</f>
        <v>0</v>
      </c>
      <c r="J46" s="6">
        <f>M34*TIENDO!I29/100+M35*TIENDO!I45/100</f>
        <v>0</v>
      </c>
      <c r="K46" s="6">
        <f>M34*TIENDO!J29/100+M35*TIENDO!J45/100</f>
        <v>0</v>
      </c>
      <c r="L46" s="6">
        <f>M34*TIENDO!K29/100+M35*TIENDO!K45/100</f>
        <v>0</v>
      </c>
      <c r="M46" s="6">
        <f>M34*TIENDO!L29/100+M35*TIENDO!L45/100</f>
        <v>0</v>
      </c>
      <c r="N46" s="6">
        <f>M34*TIENDO!M29/100+M35*TIENDO!M45/100</f>
        <v>0</v>
      </c>
      <c r="O46" s="6">
        <f>M34*TIENDO!N29/100+M35*TIENDO!N45/100</f>
        <v>0</v>
      </c>
      <c r="P46" s="6">
        <f>M34*TIENDO!O29/100+M35*TIENDO!O45/100</f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</row>
    <row r="47" spans="2:63" x14ac:dyDescent="0.25">
      <c r="B47" s="1" t="s">
        <v>340</v>
      </c>
      <c r="D47" s="6">
        <f>N34*TIENDO!C30/100+N35*TIENDO!C46/100</f>
        <v>0</v>
      </c>
      <c r="E47" s="6">
        <f>N34*TIENDO!D30/100+N35*TIENDO!D46/100</f>
        <v>0</v>
      </c>
      <c r="F47" s="6">
        <f>N34*TIENDO!E30/100+N35*TIENDO!E46/100</f>
        <v>0</v>
      </c>
      <c r="G47" s="6">
        <f>N34*TIENDO!F30/100+N35*TIENDO!F46/100</f>
        <v>0</v>
      </c>
      <c r="H47" s="6">
        <f>N34*TIENDO!G30/100+N35*TIENDO!G46/100</f>
        <v>0</v>
      </c>
      <c r="I47" s="6">
        <f>N34*TIENDO!H30/100+N35*TIENDO!H46/100</f>
        <v>0</v>
      </c>
      <c r="J47" s="6">
        <f>N34*TIENDO!I30/100+N35*TIENDO!I46/100</f>
        <v>0</v>
      </c>
      <c r="K47" s="6">
        <f>N34*TIENDO!J30/100+N35*TIENDO!J46/100</f>
        <v>0</v>
      </c>
      <c r="L47" s="6">
        <f>N34*TIENDO!K30/100+N35*TIENDO!K46/100</f>
        <v>0</v>
      </c>
      <c r="M47" s="6">
        <f>N34*TIENDO!L30/100+N35*TIENDO!L46/100</f>
        <v>0</v>
      </c>
      <c r="N47" s="6">
        <f>N34*TIENDO!M30/100+N35*TIENDO!M46/100</f>
        <v>0</v>
      </c>
      <c r="O47" s="6">
        <f>N34*TIENDO!N30/100+N35*TIENDO!N46/100</f>
        <v>0</v>
      </c>
      <c r="P47" s="6">
        <f>N34*TIENDO!O30/100+N35*TIENDO!O46/100</f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</row>
    <row r="48" spans="2:63" x14ac:dyDescent="0.25">
      <c r="B48" s="1" t="s">
        <v>341</v>
      </c>
      <c r="D48" s="6">
        <f>O34*TIENDO!C31/100+O35*TIENDO!C47/100</f>
        <v>0</v>
      </c>
      <c r="E48" s="6">
        <f>O34*TIENDO!D31/100+O35*TIENDO!D47/100</f>
        <v>0</v>
      </c>
      <c r="F48" s="6">
        <f>O34*TIENDO!E31/100+O35*TIENDO!E47/100</f>
        <v>0</v>
      </c>
      <c r="G48" s="6">
        <f>O34*TIENDO!F31/100+O35*TIENDO!F47/100</f>
        <v>0</v>
      </c>
      <c r="H48" s="6">
        <f>O34*TIENDO!G31/100+O35*TIENDO!G47/100</f>
        <v>0</v>
      </c>
      <c r="I48" s="6">
        <f>O34*TIENDO!H31/100+O35*TIENDO!H47/100</f>
        <v>0</v>
      </c>
      <c r="J48" s="6">
        <f>O34*TIENDO!I31/100+O35*TIENDO!I47/100</f>
        <v>0</v>
      </c>
      <c r="K48" s="6">
        <f>O34*TIENDO!J31/100+O35*TIENDO!J47/100</f>
        <v>0</v>
      </c>
      <c r="L48" s="6">
        <f>O34*TIENDO!K31/100+O35*TIENDO!K47/100</f>
        <v>0</v>
      </c>
      <c r="M48" s="6">
        <f>O34*TIENDO!L31/100+O35*TIENDO!L47/100</f>
        <v>0</v>
      </c>
      <c r="N48" s="6">
        <f>O34*TIENDO!M31/100+O35*TIENDO!M47/100</f>
        <v>0</v>
      </c>
      <c r="O48" s="6">
        <f>O34*TIENDO!N31/100+O35*TIENDO!N47/100</f>
        <v>0</v>
      </c>
      <c r="P48" s="6">
        <f>O34*TIENDO!O31/100+O35*TIENDO!O47/100</f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</row>
    <row r="49" spans="2:63" x14ac:dyDescent="0.25">
      <c r="B49" s="1" t="s">
        <v>342</v>
      </c>
      <c r="D49" s="6">
        <f>P34*TIENDO!C32/100+P35*TIENDO!C48/100</f>
        <v>0</v>
      </c>
      <c r="E49" s="6">
        <f>P34*TIENDO!D32/100+P35*TIENDO!D48/100</f>
        <v>0</v>
      </c>
      <c r="F49" s="6">
        <f>P34*TIENDO!E32/100+P35*TIENDO!E48/100</f>
        <v>0</v>
      </c>
      <c r="G49" s="6">
        <f>P34*TIENDO!F32/100+P35*TIENDO!F48/100</f>
        <v>0</v>
      </c>
      <c r="H49" s="6">
        <f>P34*TIENDO!G32/100+P35*TIENDO!G48/100</f>
        <v>0</v>
      </c>
      <c r="I49" s="6">
        <f>P34*TIENDO!H32/100+P35*TIENDO!H48/100</f>
        <v>0</v>
      </c>
      <c r="J49" s="6">
        <f>P34*TIENDO!I32/100+P35*TIENDO!I48/100</f>
        <v>0</v>
      </c>
      <c r="K49" s="6">
        <f>P34*TIENDO!J32/100+P35*TIENDO!J48/100</f>
        <v>0</v>
      </c>
      <c r="L49" s="6">
        <f>P34*TIENDO!K32/100+P35*TIENDO!K48/100</f>
        <v>0</v>
      </c>
      <c r="M49" s="6">
        <f>P34*TIENDO!L32/100+P35*TIENDO!L48/100</f>
        <v>0</v>
      </c>
      <c r="N49" s="6">
        <f>P34*TIENDO!M32/100+P35*TIENDO!M48/100</f>
        <v>0</v>
      </c>
      <c r="O49" s="6">
        <f>P34*TIENDO!N32/100+P35*TIENDO!N48/100</f>
        <v>0</v>
      </c>
      <c r="P49" s="6">
        <f>P34*TIENDO!O32/100+P35*TIENDO!O48/100</f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</row>
    <row r="50" spans="2:63" x14ac:dyDescent="0.25">
      <c r="B50" s="4" t="s">
        <v>343</v>
      </c>
      <c r="C50" s="4" t="s">
        <v>1</v>
      </c>
      <c r="D50" s="4" t="s">
        <v>1</v>
      </c>
      <c r="E50" s="4" t="s">
        <v>1</v>
      </c>
      <c r="F50" s="4" t="s">
        <v>1</v>
      </c>
      <c r="G50" s="4" t="s">
        <v>1</v>
      </c>
      <c r="H50" s="4" t="s">
        <v>1</v>
      </c>
      <c r="I50" s="4" t="s">
        <v>1</v>
      </c>
      <c r="J50" s="4" t="s">
        <v>1</v>
      </c>
      <c r="K50" s="4" t="s">
        <v>1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  <c r="U50" s="4" t="s">
        <v>1</v>
      </c>
      <c r="V50" s="4" t="s">
        <v>1</v>
      </c>
      <c r="W50" s="4" t="s">
        <v>1</v>
      </c>
      <c r="X50" s="4" t="s">
        <v>1</v>
      </c>
      <c r="Y50" s="4" t="s">
        <v>1</v>
      </c>
      <c r="Z50" s="4" t="s">
        <v>1</v>
      </c>
      <c r="AA50" s="4" t="s">
        <v>1</v>
      </c>
      <c r="AB50" s="4" t="s">
        <v>1</v>
      </c>
      <c r="AC50" s="4" t="s">
        <v>1</v>
      </c>
      <c r="AD50" s="4" t="s">
        <v>1</v>
      </c>
      <c r="AE50" s="4" t="s">
        <v>1</v>
      </c>
      <c r="AF50" s="4" t="s">
        <v>1</v>
      </c>
      <c r="AG50" s="4" t="s">
        <v>1</v>
      </c>
      <c r="AH50" s="4" t="s">
        <v>1</v>
      </c>
      <c r="AI50" s="4" t="s">
        <v>1</v>
      </c>
      <c r="AJ50" s="4" t="s">
        <v>1</v>
      </c>
      <c r="AK50" s="4" t="s">
        <v>1</v>
      </c>
      <c r="AL50" s="4" t="s">
        <v>1</v>
      </c>
      <c r="AM50" s="4" t="s">
        <v>1</v>
      </c>
      <c r="AN50" s="4" t="s">
        <v>1</v>
      </c>
      <c r="AO50" s="4" t="s">
        <v>1</v>
      </c>
      <c r="AP50" s="4" t="s">
        <v>1</v>
      </c>
      <c r="AQ50" s="4" t="s">
        <v>1</v>
      </c>
      <c r="AR50" s="4" t="s">
        <v>1</v>
      </c>
      <c r="AS50" s="4" t="s">
        <v>1</v>
      </c>
      <c r="AT50" s="4" t="s">
        <v>1</v>
      </c>
      <c r="AU50" s="4" t="s">
        <v>1</v>
      </c>
      <c r="AV50" s="4" t="s">
        <v>1</v>
      </c>
      <c r="AW50" s="4" t="s">
        <v>1</v>
      </c>
      <c r="AX50" s="4" t="s">
        <v>1</v>
      </c>
      <c r="AY50" s="4" t="s">
        <v>1</v>
      </c>
      <c r="AZ50" s="4" t="s">
        <v>1</v>
      </c>
      <c r="BA50" s="4" t="s">
        <v>1</v>
      </c>
      <c r="BB50" s="4" t="s">
        <v>1</v>
      </c>
      <c r="BC50" s="4" t="s">
        <v>1</v>
      </c>
      <c r="BD50" s="4" t="s">
        <v>1</v>
      </c>
      <c r="BE50" s="4" t="s">
        <v>1</v>
      </c>
      <c r="BF50" s="4" t="s">
        <v>1</v>
      </c>
      <c r="BG50" s="4" t="s">
        <v>1</v>
      </c>
      <c r="BH50" s="4" t="s">
        <v>1</v>
      </c>
      <c r="BI50" s="4" t="s">
        <v>1</v>
      </c>
      <c r="BJ50" s="4" t="s">
        <v>1</v>
      </c>
      <c r="BK50" s="4" t="s">
        <v>1</v>
      </c>
    </row>
    <row r="51" spans="2:63" x14ac:dyDescent="0.25">
      <c r="B51" s="1" t="s">
        <v>344</v>
      </c>
      <c r="D51">
        <f>2026-INPUT!$C$75</f>
        <v>-4</v>
      </c>
      <c r="E51">
        <f>2027-INPUT!$C$75</f>
        <v>-3</v>
      </c>
      <c r="F51">
        <f>2028-INPUT!$C$75</f>
        <v>-2</v>
      </c>
      <c r="G51">
        <f>2029-INPUT!$C$75</f>
        <v>-1</v>
      </c>
      <c r="H51">
        <f>2030-INPUT!$C$75</f>
        <v>0</v>
      </c>
      <c r="I51">
        <f>2031-INPUT!$C$75</f>
        <v>1</v>
      </c>
      <c r="J51">
        <f>2032-INPUT!$C$75</f>
        <v>2</v>
      </c>
      <c r="K51">
        <f>2033-INPUT!$C$75</f>
        <v>3</v>
      </c>
      <c r="L51">
        <f>2034-INPUT!$C$75</f>
        <v>4</v>
      </c>
      <c r="M51">
        <f>2035-INPUT!$C$75</f>
        <v>5</v>
      </c>
      <c r="N51">
        <f>2036-INPUT!$C$75</f>
        <v>6</v>
      </c>
      <c r="O51">
        <f>2037-INPUT!$C$75</f>
        <v>7</v>
      </c>
      <c r="P51">
        <f>2038-INPUT!$C$75</f>
        <v>8</v>
      </c>
      <c r="Q51">
        <f>2039-INPUT!$C$75</f>
        <v>9</v>
      </c>
      <c r="R51">
        <f>2040-INPUT!$C$75</f>
        <v>10</v>
      </c>
      <c r="S51">
        <f>2041-INPUT!$C$75</f>
        <v>11</v>
      </c>
      <c r="T51">
        <f>2042-INPUT!$C$75</f>
        <v>12</v>
      </c>
      <c r="U51">
        <f>2043-INPUT!$C$75</f>
        <v>13</v>
      </c>
      <c r="V51">
        <f>2044-INPUT!$C$75</f>
        <v>14</v>
      </c>
      <c r="W51">
        <f>2045-INPUT!$C$75</f>
        <v>15</v>
      </c>
      <c r="X51">
        <f>2046-INPUT!$C$75</f>
        <v>16</v>
      </c>
      <c r="Y51">
        <f>2047-INPUT!$C$75</f>
        <v>17</v>
      </c>
      <c r="Z51">
        <f>2048-INPUT!$C$75</f>
        <v>18</v>
      </c>
      <c r="AA51">
        <f>2049-INPUT!$C$75</f>
        <v>19</v>
      </c>
      <c r="AB51">
        <f>2050-INPUT!$C$75</f>
        <v>20</v>
      </c>
      <c r="AC51">
        <f>2051-INPUT!$C$75</f>
        <v>21</v>
      </c>
      <c r="AD51">
        <f>2052-INPUT!$C$75</f>
        <v>22</v>
      </c>
      <c r="AE51">
        <f>2053-INPUT!$C$75</f>
        <v>23</v>
      </c>
      <c r="AF51">
        <f>2054-INPUT!$C$75</f>
        <v>24</v>
      </c>
      <c r="AG51">
        <f>2055-INPUT!$C$75</f>
        <v>25</v>
      </c>
      <c r="AH51">
        <f>2056-INPUT!$C$75</f>
        <v>26</v>
      </c>
      <c r="AI51">
        <f>2057-INPUT!$C$75</f>
        <v>27</v>
      </c>
      <c r="AJ51">
        <f>2058-INPUT!$C$75</f>
        <v>28</v>
      </c>
      <c r="AK51">
        <f>2059-INPUT!$C$75</f>
        <v>29</v>
      </c>
      <c r="AL51">
        <f>2060-INPUT!$C$75</f>
        <v>30</v>
      </c>
      <c r="AM51">
        <f>2061-INPUT!$C$75</f>
        <v>31</v>
      </c>
      <c r="AN51">
        <f>2062-INPUT!$C$75</f>
        <v>32</v>
      </c>
      <c r="AO51">
        <f>2063-INPUT!$C$75</f>
        <v>33</v>
      </c>
      <c r="AP51">
        <f>2064-INPUT!$C$75</f>
        <v>34</v>
      </c>
      <c r="AQ51">
        <f>2065-INPUT!$C$75</f>
        <v>35</v>
      </c>
      <c r="AR51">
        <f>2066-INPUT!$C$75</f>
        <v>36</v>
      </c>
      <c r="AS51">
        <f>2067-INPUT!$C$75</f>
        <v>37</v>
      </c>
      <c r="AT51">
        <f>2068-INPUT!$C$75</f>
        <v>38</v>
      </c>
      <c r="AU51">
        <f>2069-INPUT!$C$75</f>
        <v>39</v>
      </c>
      <c r="AV51">
        <f>2070-INPUT!$C$75</f>
        <v>40</v>
      </c>
      <c r="AW51">
        <f>2071-INPUT!$C$75</f>
        <v>41</v>
      </c>
      <c r="AX51">
        <f>2072-INPUT!$C$75</f>
        <v>42</v>
      </c>
      <c r="AY51">
        <f>2073-INPUT!$C$75</f>
        <v>43</v>
      </c>
      <c r="AZ51">
        <f>2074-INPUT!$C$75</f>
        <v>44</v>
      </c>
      <c r="BA51">
        <f>2075-INPUT!$C$75</f>
        <v>45</v>
      </c>
      <c r="BB51">
        <f>2076-INPUT!$C$75</f>
        <v>46</v>
      </c>
      <c r="BC51">
        <f>2077-INPUT!$C$75</f>
        <v>47</v>
      </c>
      <c r="BD51">
        <f>2078-INPUT!$C$75</f>
        <v>48</v>
      </c>
      <c r="BE51">
        <f>2079-INPUT!$C$75</f>
        <v>49</v>
      </c>
      <c r="BF51">
        <f>2080-INPUT!$C$75</f>
        <v>50</v>
      </c>
      <c r="BG51">
        <f>2081-INPUT!$C$75</f>
        <v>51</v>
      </c>
      <c r="BH51">
        <f>2082-INPUT!$C$75</f>
        <v>52</v>
      </c>
      <c r="BI51">
        <f>2083-INPUT!$C$75</f>
        <v>53</v>
      </c>
      <c r="BJ51">
        <f>2084-INPUT!$C$75</f>
        <v>54</v>
      </c>
      <c r="BK51">
        <f>2085-INPUT!$C$75</f>
        <v>55</v>
      </c>
    </row>
    <row r="52" spans="2:63" x14ac:dyDescent="0.25">
      <c r="B52" s="1" t="s">
        <v>345</v>
      </c>
      <c r="D52" s="8">
        <f>IF(IF(AND(D51&gt;=0,D51&lt;INPUT!$C$76),1,0)=1,IF(D51&lt;5,CHOOSE(D51+1,INPUT!$C$98,INPUT!$C$99,INPUT!$C$100,INPUT!$C$101,INPUT!$C$102),INPUT!$C$103)/100,0)</f>
        <v>0</v>
      </c>
      <c r="E52" s="8">
        <f>IF(IF(AND(E51&gt;=0,E51&lt;INPUT!$C$76),1,0)=1,IF(E51&lt;5,CHOOSE(E51+1,INPUT!$C$98,INPUT!$C$99,INPUT!$C$100,INPUT!$C$101,INPUT!$C$102),INPUT!$C$103)/100,0)</f>
        <v>0</v>
      </c>
      <c r="F52" s="8">
        <f>IF(IF(AND(F51&gt;=0,F51&lt;INPUT!$C$76),1,0)=1,IF(F51&lt;5,CHOOSE(F51+1,INPUT!$C$98,INPUT!$C$99,INPUT!$C$100,INPUT!$C$101,INPUT!$C$102),INPUT!$C$103)/100,0)</f>
        <v>0</v>
      </c>
      <c r="G52" s="8">
        <f>IF(IF(AND(G51&gt;=0,G51&lt;INPUT!$C$76),1,0)=1,IF(G51&lt;5,CHOOSE(G51+1,INPUT!$C$98,INPUT!$C$99,INPUT!$C$100,INPUT!$C$101,INPUT!$C$102),INPUT!$C$103)/100,0)</f>
        <v>0</v>
      </c>
      <c r="H52" s="8">
        <f>IF(IF(AND(H51&gt;=0,H51&lt;INPUT!$C$76),1,0)=1,IF(H51&lt;5,CHOOSE(H51+1,INPUT!$C$98,INPUT!$C$99,INPUT!$C$100,INPUT!$C$101,INPUT!$C$102),INPUT!$C$103)/100,0)</f>
        <v>0.4</v>
      </c>
      <c r="I52" s="8">
        <f>IF(IF(AND(I51&gt;=0,I51&lt;INPUT!$C$76),1,0)=1,IF(I51&lt;5,CHOOSE(I51+1,INPUT!$C$98,INPUT!$C$99,INPUT!$C$100,INPUT!$C$101,INPUT!$C$102),INPUT!$C$103)/100,0)</f>
        <v>0.6</v>
      </c>
      <c r="J52" s="8">
        <f>IF(IF(AND(J51&gt;=0,J51&lt;INPUT!$C$76),1,0)=1,IF(J51&lt;5,CHOOSE(J51+1,INPUT!$C$98,INPUT!$C$99,INPUT!$C$100,INPUT!$C$101,INPUT!$C$102),INPUT!$C$103)/100,0)</f>
        <v>0.8</v>
      </c>
      <c r="K52" s="8">
        <f>IF(IF(AND(K51&gt;=0,K51&lt;INPUT!$C$76),1,0)=1,IF(K51&lt;5,CHOOSE(K51+1,INPUT!$C$98,INPUT!$C$99,INPUT!$C$100,INPUT!$C$101,INPUT!$C$102),INPUT!$C$103)/100,0)</f>
        <v>0.9</v>
      </c>
      <c r="L52" s="8">
        <f>IF(IF(AND(L51&gt;=0,L51&lt;INPUT!$C$76),1,0)=1,IF(L51&lt;5,CHOOSE(L51+1,INPUT!$C$98,INPUT!$C$99,INPUT!$C$100,INPUT!$C$101,INPUT!$C$102),INPUT!$C$103)/100,0)</f>
        <v>0.95</v>
      </c>
      <c r="M52" s="8">
        <f>IF(IF(AND(M51&gt;=0,M51&lt;INPUT!$C$76),1,0)=1,IF(M51&lt;5,CHOOSE(M51+1,INPUT!$C$98,INPUT!$C$99,INPUT!$C$100,INPUT!$C$101,INPUT!$C$102),INPUT!$C$103)/100,0)</f>
        <v>0.95</v>
      </c>
      <c r="N52" s="8">
        <f>IF(IF(AND(N51&gt;=0,N51&lt;INPUT!$C$76),1,0)=1,IF(N51&lt;5,CHOOSE(N51+1,INPUT!$C$98,INPUT!$C$99,INPUT!$C$100,INPUT!$C$101,INPUT!$C$102),INPUT!$C$103)/100,0)</f>
        <v>0.95</v>
      </c>
      <c r="O52" s="8">
        <f>IF(IF(AND(O51&gt;=0,O51&lt;INPUT!$C$76),1,0)=1,IF(O51&lt;5,CHOOSE(O51+1,INPUT!$C$98,INPUT!$C$99,INPUT!$C$100,INPUT!$C$101,INPUT!$C$102),INPUT!$C$103)/100,0)</f>
        <v>0.95</v>
      </c>
      <c r="P52" s="8">
        <f>IF(IF(AND(P51&gt;=0,P51&lt;INPUT!$C$76),1,0)=1,IF(P51&lt;5,CHOOSE(P51+1,INPUT!$C$98,INPUT!$C$99,INPUT!$C$100,INPUT!$C$101,INPUT!$C$102),INPUT!$C$103)/100,0)</f>
        <v>0.95</v>
      </c>
      <c r="Q52" s="8">
        <f>IF(IF(AND(Q51&gt;=0,Q51&lt;INPUT!$C$76),1,0)=1,IF(Q51&lt;5,CHOOSE(Q51+1,INPUT!$C$98,INPUT!$C$99,INPUT!$C$100,INPUT!$C$101,INPUT!$C$102),INPUT!$C$103)/100,0)</f>
        <v>0.95</v>
      </c>
      <c r="R52" s="8">
        <f>IF(IF(AND(R51&gt;=0,R51&lt;INPUT!$C$76),1,0)=1,IF(R51&lt;5,CHOOSE(R51+1,INPUT!$C$98,INPUT!$C$99,INPUT!$C$100,INPUT!$C$101,INPUT!$C$102),INPUT!$C$103)/100,0)</f>
        <v>0.95</v>
      </c>
      <c r="S52" s="8">
        <f>IF(IF(AND(S51&gt;=0,S51&lt;INPUT!$C$76),1,0)=1,IF(S51&lt;5,CHOOSE(S51+1,INPUT!$C$98,INPUT!$C$99,INPUT!$C$100,INPUT!$C$101,INPUT!$C$102),INPUT!$C$103)/100,0)</f>
        <v>0.95</v>
      </c>
      <c r="T52" s="8">
        <f>IF(IF(AND(T51&gt;=0,T51&lt;INPUT!$C$76),1,0)=1,IF(T51&lt;5,CHOOSE(T51+1,INPUT!$C$98,INPUT!$C$99,INPUT!$C$100,INPUT!$C$101,INPUT!$C$102),INPUT!$C$103)/100,0)</f>
        <v>0.95</v>
      </c>
      <c r="U52" s="8">
        <f>IF(IF(AND(U51&gt;=0,U51&lt;INPUT!$C$76),1,0)=1,IF(U51&lt;5,CHOOSE(U51+1,INPUT!$C$98,INPUT!$C$99,INPUT!$C$100,INPUT!$C$101,INPUT!$C$102),INPUT!$C$103)/100,0)</f>
        <v>0.95</v>
      </c>
      <c r="V52" s="8">
        <f>IF(IF(AND(V51&gt;=0,V51&lt;INPUT!$C$76),1,0)=1,IF(V51&lt;5,CHOOSE(V51+1,INPUT!$C$98,INPUT!$C$99,INPUT!$C$100,INPUT!$C$101,INPUT!$C$102),INPUT!$C$103)/100,0)</f>
        <v>0.95</v>
      </c>
      <c r="W52" s="8">
        <f>IF(IF(AND(W51&gt;=0,W51&lt;INPUT!$C$76),1,0)=1,IF(W51&lt;5,CHOOSE(W51+1,INPUT!$C$98,INPUT!$C$99,INPUT!$C$100,INPUT!$C$101,INPUT!$C$102),INPUT!$C$103)/100,0)</f>
        <v>0.95</v>
      </c>
      <c r="X52" s="8">
        <f>IF(IF(AND(X51&gt;=0,X51&lt;INPUT!$C$76),1,0)=1,IF(X51&lt;5,CHOOSE(X51+1,INPUT!$C$98,INPUT!$C$99,INPUT!$C$100,INPUT!$C$101,INPUT!$C$102),INPUT!$C$103)/100,0)</f>
        <v>0.95</v>
      </c>
      <c r="Y52" s="8">
        <f>IF(IF(AND(Y51&gt;=0,Y51&lt;INPUT!$C$76),1,0)=1,IF(Y51&lt;5,CHOOSE(Y51+1,INPUT!$C$98,INPUT!$C$99,INPUT!$C$100,INPUT!$C$101,INPUT!$C$102),INPUT!$C$103)/100,0)</f>
        <v>0.95</v>
      </c>
      <c r="Z52" s="8">
        <f>IF(IF(AND(Z51&gt;=0,Z51&lt;INPUT!$C$76),1,0)=1,IF(Z51&lt;5,CHOOSE(Z51+1,INPUT!$C$98,INPUT!$C$99,INPUT!$C$100,INPUT!$C$101,INPUT!$C$102),INPUT!$C$103)/100,0)</f>
        <v>0.95</v>
      </c>
      <c r="AA52" s="8">
        <f>IF(IF(AND(AA51&gt;=0,AA51&lt;INPUT!$C$76),1,0)=1,IF(AA51&lt;5,CHOOSE(AA51+1,INPUT!$C$98,INPUT!$C$99,INPUT!$C$100,INPUT!$C$101,INPUT!$C$102),INPUT!$C$103)/100,0)</f>
        <v>0.95</v>
      </c>
      <c r="AB52" s="8">
        <f>IF(IF(AND(AB51&gt;=0,AB51&lt;INPUT!$C$76),1,0)=1,IF(AB51&lt;5,CHOOSE(AB51+1,INPUT!$C$98,INPUT!$C$99,INPUT!$C$100,INPUT!$C$101,INPUT!$C$102),INPUT!$C$103)/100,0)</f>
        <v>0.95</v>
      </c>
      <c r="AC52" s="8">
        <f>IF(IF(AND(AC51&gt;=0,AC51&lt;INPUT!$C$76),1,0)=1,IF(AC51&lt;5,CHOOSE(AC51+1,INPUT!$C$98,INPUT!$C$99,INPUT!$C$100,INPUT!$C$101,INPUT!$C$102),INPUT!$C$103)/100,0)</f>
        <v>0.95</v>
      </c>
      <c r="AD52" s="8">
        <f>IF(IF(AND(AD51&gt;=0,AD51&lt;INPUT!$C$76),1,0)=1,IF(AD51&lt;5,CHOOSE(AD51+1,INPUT!$C$98,INPUT!$C$99,INPUT!$C$100,INPUT!$C$101,INPUT!$C$102),INPUT!$C$103)/100,0)</f>
        <v>0.95</v>
      </c>
      <c r="AE52" s="8">
        <f>IF(IF(AND(AE51&gt;=0,AE51&lt;INPUT!$C$76),1,0)=1,IF(AE51&lt;5,CHOOSE(AE51+1,INPUT!$C$98,INPUT!$C$99,INPUT!$C$100,INPUT!$C$101,INPUT!$C$102),INPUT!$C$103)/100,0)</f>
        <v>0.95</v>
      </c>
      <c r="AF52" s="8">
        <f>IF(IF(AND(AF51&gt;=0,AF51&lt;INPUT!$C$76),1,0)=1,IF(AF51&lt;5,CHOOSE(AF51+1,INPUT!$C$98,INPUT!$C$99,INPUT!$C$100,INPUT!$C$101,INPUT!$C$102),INPUT!$C$103)/100,0)</f>
        <v>0.95</v>
      </c>
      <c r="AG52" s="8">
        <f>IF(IF(AND(AG51&gt;=0,AG51&lt;INPUT!$C$76),1,0)=1,IF(AG51&lt;5,CHOOSE(AG51+1,INPUT!$C$98,INPUT!$C$99,INPUT!$C$100,INPUT!$C$101,INPUT!$C$102),INPUT!$C$103)/100,0)</f>
        <v>0.95</v>
      </c>
      <c r="AH52" s="8">
        <f>IF(IF(AND(AH51&gt;=0,AH51&lt;INPUT!$C$76),1,0)=1,IF(AH51&lt;5,CHOOSE(AH51+1,INPUT!$C$98,INPUT!$C$99,INPUT!$C$100,INPUT!$C$101,INPUT!$C$102),INPUT!$C$103)/100,0)</f>
        <v>0.95</v>
      </c>
      <c r="AI52" s="8">
        <f>IF(IF(AND(AI51&gt;=0,AI51&lt;INPUT!$C$76),1,0)=1,IF(AI51&lt;5,CHOOSE(AI51+1,INPUT!$C$98,INPUT!$C$99,INPUT!$C$100,INPUT!$C$101,INPUT!$C$102),INPUT!$C$103)/100,0)</f>
        <v>0.95</v>
      </c>
      <c r="AJ52" s="8">
        <f>IF(IF(AND(AJ51&gt;=0,AJ51&lt;INPUT!$C$76),1,0)=1,IF(AJ51&lt;5,CHOOSE(AJ51+1,INPUT!$C$98,INPUT!$C$99,INPUT!$C$100,INPUT!$C$101,INPUT!$C$102),INPUT!$C$103)/100,0)</f>
        <v>0.95</v>
      </c>
      <c r="AK52" s="8">
        <f>IF(IF(AND(AK51&gt;=0,AK51&lt;INPUT!$C$76),1,0)=1,IF(AK51&lt;5,CHOOSE(AK51+1,INPUT!$C$98,INPUT!$C$99,INPUT!$C$100,INPUT!$C$101,INPUT!$C$102),INPUT!$C$103)/100,0)</f>
        <v>0.95</v>
      </c>
      <c r="AL52" s="8">
        <f>IF(IF(AND(AL51&gt;=0,AL51&lt;INPUT!$C$76),1,0)=1,IF(AL51&lt;5,CHOOSE(AL51+1,INPUT!$C$98,INPUT!$C$99,INPUT!$C$100,INPUT!$C$101,INPUT!$C$102),INPUT!$C$103)/100,0)</f>
        <v>0.95</v>
      </c>
      <c r="AM52" s="8">
        <f>IF(IF(AND(AM51&gt;=0,AM51&lt;INPUT!$C$76),1,0)=1,IF(AM51&lt;5,CHOOSE(AM51+1,INPUT!$C$98,INPUT!$C$99,INPUT!$C$100,INPUT!$C$101,INPUT!$C$102),INPUT!$C$103)/100,0)</f>
        <v>0.95</v>
      </c>
      <c r="AN52" s="8">
        <f>IF(IF(AND(AN51&gt;=0,AN51&lt;INPUT!$C$76),1,0)=1,IF(AN51&lt;5,CHOOSE(AN51+1,INPUT!$C$98,INPUT!$C$99,INPUT!$C$100,INPUT!$C$101,INPUT!$C$102),INPUT!$C$103)/100,0)</f>
        <v>0.95</v>
      </c>
      <c r="AO52" s="8">
        <f>IF(IF(AND(AO51&gt;=0,AO51&lt;INPUT!$C$76),1,0)=1,IF(AO51&lt;5,CHOOSE(AO51+1,INPUT!$C$98,INPUT!$C$99,INPUT!$C$100,INPUT!$C$101,INPUT!$C$102),INPUT!$C$103)/100,0)</f>
        <v>0.95</v>
      </c>
      <c r="AP52" s="8">
        <f>IF(IF(AND(AP51&gt;=0,AP51&lt;INPUT!$C$76),1,0)=1,IF(AP51&lt;5,CHOOSE(AP51+1,INPUT!$C$98,INPUT!$C$99,INPUT!$C$100,INPUT!$C$101,INPUT!$C$102),INPUT!$C$103)/100,0)</f>
        <v>0.95</v>
      </c>
      <c r="AQ52" s="8">
        <f>IF(IF(AND(AQ51&gt;=0,AQ51&lt;INPUT!$C$76),1,0)=1,IF(AQ51&lt;5,CHOOSE(AQ51+1,INPUT!$C$98,INPUT!$C$99,INPUT!$C$100,INPUT!$C$101,INPUT!$C$102),INPUT!$C$103)/100,0)</f>
        <v>0.95</v>
      </c>
      <c r="AR52" s="8">
        <f>IF(IF(AND(AR51&gt;=0,AR51&lt;INPUT!$C$76),1,0)=1,IF(AR51&lt;5,CHOOSE(AR51+1,INPUT!$C$98,INPUT!$C$99,INPUT!$C$100,INPUT!$C$101,INPUT!$C$102),INPUT!$C$103)/100,0)</f>
        <v>0.95</v>
      </c>
      <c r="AS52" s="8">
        <f>IF(IF(AND(AS51&gt;=0,AS51&lt;INPUT!$C$76),1,0)=1,IF(AS51&lt;5,CHOOSE(AS51+1,INPUT!$C$98,INPUT!$C$99,INPUT!$C$100,INPUT!$C$101,INPUT!$C$102),INPUT!$C$103)/100,0)</f>
        <v>0.95</v>
      </c>
      <c r="AT52" s="8">
        <f>IF(IF(AND(AT51&gt;=0,AT51&lt;INPUT!$C$76),1,0)=1,IF(AT51&lt;5,CHOOSE(AT51+1,INPUT!$C$98,INPUT!$C$99,INPUT!$C$100,INPUT!$C$101,INPUT!$C$102),INPUT!$C$103)/100,0)</f>
        <v>0.95</v>
      </c>
      <c r="AU52" s="8">
        <f>IF(IF(AND(AU51&gt;=0,AU51&lt;INPUT!$C$76),1,0)=1,IF(AU51&lt;5,CHOOSE(AU51+1,INPUT!$C$98,INPUT!$C$99,INPUT!$C$100,INPUT!$C$101,INPUT!$C$102),INPUT!$C$103)/100,0)</f>
        <v>0.95</v>
      </c>
      <c r="AV52" s="8">
        <f>IF(IF(AND(AV51&gt;=0,AV51&lt;INPUT!$C$76),1,0)=1,IF(AV51&lt;5,CHOOSE(AV51+1,INPUT!$C$98,INPUT!$C$99,INPUT!$C$100,INPUT!$C$101,INPUT!$C$102),INPUT!$C$103)/100,0)</f>
        <v>0.95</v>
      </c>
      <c r="AW52" s="8">
        <f>IF(IF(AND(AW51&gt;=0,AW51&lt;INPUT!$C$76),1,0)=1,IF(AW51&lt;5,CHOOSE(AW51+1,INPUT!$C$98,INPUT!$C$99,INPUT!$C$100,INPUT!$C$101,INPUT!$C$102),INPUT!$C$103)/100,0)</f>
        <v>0.95</v>
      </c>
      <c r="AX52" s="8">
        <f>IF(IF(AND(AX51&gt;=0,AX51&lt;INPUT!$C$76),1,0)=1,IF(AX51&lt;5,CHOOSE(AX51+1,INPUT!$C$98,INPUT!$C$99,INPUT!$C$100,INPUT!$C$101,INPUT!$C$102),INPUT!$C$103)/100,0)</f>
        <v>0.95</v>
      </c>
      <c r="AY52" s="8">
        <f>IF(IF(AND(AY51&gt;=0,AY51&lt;INPUT!$C$76),1,0)=1,IF(AY51&lt;5,CHOOSE(AY51+1,INPUT!$C$98,INPUT!$C$99,INPUT!$C$100,INPUT!$C$101,INPUT!$C$102),INPUT!$C$103)/100,0)</f>
        <v>0.95</v>
      </c>
      <c r="AZ52" s="8">
        <f>IF(IF(AND(AZ51&gt;=0,AZ51&lt;INPUT!$C$76),1,0)=1,IF(AZ51&lt;5,CHOOSE(AZ51+1,INPUT!$C$98,INPUT!$C$99,INPUT!$C$100,INPUT!$C$101,INPUT!$C$102),INPUT!$C$103)/100,0)</f>
        <v>0.95</v>
      </c>
      <c r="BA52" s="8">
        <f>IF(IF(AND(BA51&gt;=0,BA51&lt;INPUT!$C$76),1,0)=1,IF(BA51&lt;5,CHOOSE(BA51+1,INPUT!$C$98,INPUT!$C$99,INPUT!$C$100,INPUT!$C$101,INPUT!$C$102),INPUT!$C$103)/100,0)</f>
        <v>0</v>
      </c>
      <c r="BB52" s="8">
        <f>IF(IF(AND(BB51&gt;=0,BB51&lt;INPUT!$C$76),1,0)=1,IF(BB51&lt;5,CHOOSE(BB51+1,INPUT!$C$98,INPUT!$C$99,INPUT!$C$100,INPUT!$C$101,INPUT!$C$102),INPUT!$C$103)/100,0)</f>
        <v>0</v>
      </c>
      <c r="BC52" s="8">
        <f>IF(IF(AND(BC51&gt;=0,BC51&lt;INPUT!$C$76),1,0)=1,IF(BC51&lt;5,CHOOSE(BC51+1,INPUT!$C$98,INPUT!$C$99,INPUT!$C$100,INPUT!$C$101,INPUT!$C$102),INPUT!$C$103)/100,0)</f>
        <v>0</v>
      </c>
      <c r="BD52" s="8">
        <f>IF(IF(AND(BD51&gt;=0,BD51&lt;INPUT!$C$76),1,0)=1,IF(BD51&lt;5,CHOOSE(BD51+1,INPUT!$C$98,INPUT!$C$99,INPUT!$C$100,INPUT!$C$101,INPUT!$C$102),INPUT!$C$103)/100,0)</f>
        <v>0</v>
      </c>
      <c r="BE52" s="8">
        <f>IF(IF(AND(BE51&gt;=0,BE51&lt;INPUT!$C$76),1,0)=1,IF(BE51&lt;5,CHOOSE(BE51+1,INPUT!$C$98,INPUT!$C$99,INPUT!$C$100,INPUT!$C$101,INPUT!$C$102),INPUT!$C$103)/100,0)</f>
        <v>0</v>
      </c>
      <c r="BF52" s="8">
        <f>IF(IF(AND(BF51&gt;=0,BF51&lt;INPUT!$C$76),1,0)=1,IF(BF51&lt;5,CHOOSE(BF51+1,INPUT!$C$98,INPUT!$C$99,INPUT!$C$100,INPUT!$C$101,INPUT!$C$102),INPUT!$C$103)/100,0)</f>
        <v>0</v>
      </c>
      <c r="BG52" s="8">
        <f>IF(IF(AND(BG51&gt;=0,BG51&lt;INPUT!$C$76),1,0)=1,IF(BG51&lt;5,CHOOSE(BG51+1,INPUT!$C$98,INPUT!$C$99,INPUT!$C$100,INPUT!$C$101,INPUT!$C$102),INPUT!$C$103)/100,0)</f>
        <v>0</v>
      </c>
      <c r="BH52" s="8">
        <f>IF(IF(AND(BH51&gt;=0,BH51&lt;INPUT!$C$76),1,0)=1,IF(BH51&lt;5,CHOOSE(BH51+1,INPUT!$C$98,INPUT!$C$99,INPUT!$C$100,INPUT!$C$101,INPUT!$C$102),INPUT!$C$103)/100,0)</f>
        <v>0</v>
      </c>
      <c r="BI52" s="8">
        <f>IF(IF(AND(BI51&gt;=0,BI51&lt;INPUT!$C$76),1,0)=1,IF(BI51&lt;5,CHOOSE(BI51+1,INPUT!$C$98,INPUT!$C$99,INPUT!$C$100,INPUT!$C$101,INPUT!$C$102),INPUT!$C$103)/100,0)</f>
        <v>0</v>
      </c>
      <c r="BJ52" s="8">
        <f>IF(IF(AND(BJ51&gt;=0,BJ51&lt;INPUT!$C$76),1,0)=1,IF(BJ51&lt;5,CHOOSE(BJ51+1,INPUT!$C$98,INPUT!$C$99,INPUT!$C$100,INPUT!$C$101,INPUT!$C$102),INPUT!$C$103)/100,0)</f>
        <v>0</v>
      </c>
      <c r="BK52" s="8">
        <f>IF(IF(AND(BK51&gt;=0,BK51&lt;INPUT!$C$76),1,0)=1,IF(BK51&lt;5,CHOOSE(BK51+1,INPUT!$C$98,INPUT!$C$99,INPUT!$C$100,INPUT!$C$101,INPUT!$C$102),INPUT!$C$103)/100,0)</f>
        <v>0</v>
      </c>
    </row>
    <row r="53" spans="2:63" x14ac:dyDescent="0.25">
      <c r="B53" s="1" t="s">
        <v>346</v>
      </c>
      <c r="D53" s="8">
        <f>IF(IF(AND(D51&gt;=0,D51&lt;INPUT!$C$76),1,0)=1,IF(D51&lt;5,CHOOSE(D51+1,INPUT!$C$104,INPUT!$C$105,INPUT!$C$106,INPUT!$C$107,INPUT!$C$108),INPUT!$C$109)/100,0)</f>
        <v>0</v>
      </c>
      <c r="E53" s="8">
        <f>IF(IF(AND(E51&gt;=0,E51&lt;INPUT!$C$76),1,0)=1,IF(E51&lt;5,CHOOSE(E51+1,INPUT!$C$104,INPUT!$C$105,INPUT!$C$106,INPUT!$C$107,INPUT!$C$108),INPUT!$C$109)/100,0)</f>
        <v>0</v>
      </c>
      <c r="F53" s="8">
        <f>IF(IF(AND(F51&gt;=0,F51&lt;INPUT!$C$76),1,0)=1,IF(F51&lt;5,CHOOSE(F51+1,INPUT!$C$104,INPUT!$C$105,INPUT!$C$106,INPUT!$C$107,INPUT!$C$108),INPUT!$C$109)/100,0)</f>
        <v>0</v>
      </c>
      <c r="G53" s="8">
        <f>IF(IF(AND(G51&gt;=0,G51&lt;INPUT!$C$76),1,0)=1,IF(G51&lt;5,CHOOSE(G51+1,INPUT!$C$104,INPUT!$C$105,INPUT!$C$106,INPUT!$C$107,INPUT!$C$108),INPUT!$C$109)/100,0)</f>
        <v>0</v>
      </c>
      <c r="H53" s="8">
        <f>IF(IF(AND(H51&gt;=0,H51&lt;INPUT!$C$76),1,0)=1,IF(H51&lt;5,CHOOSE(H51+1,INPUT!$C$104,INPUT!$C$105,INPUT!$C$106,INPUT!$C$107,INPUT!$C$108),INPUT!$C$109)/100,0)</f>
        <v>0.5</v>
      </c>
      <c r="I53" s="8">
        <f>IF(IF(AND(I51&gt;=0,I51&lt;INPUT!$C$76),1,0)=1,IF(I51&lt;5,CHOOSE(I51+1,INPUT!$C$104,INPUT!$C$105,INPUT!$C$106,INPUT!$C$107,INPUT!$C$108),INPUT!$C$109)/100,0)</f>
        <v>0.7</v>
      </c>
      <c r="J53" s="8">
        <f>IF(IF(AND(J51&gt;=0,J51&lt;INPUT!$C$76),1,0)=1,IF(J51&lt;5,CHOOSE(J51+1,INPUT!$C$104,INPUT!$C$105,INPUT!$C$106,INPUT!$C$107,INPUT!$C$108),INPUT!$C$109)/100,0)</f>
        <v>0.85</v>
      </c>
      <c r="K53" s="8">
        <f>IF(IF(AND(K51&gt;=0,K51&lt;INPUT!$C$76),1,0)=1,IF(K51&lt;5,CHOOSE(K51+1,INPUT!$C$104,INPUT!$C$105,INPUT!$C$106,INPUT!$C$107,INPUT!$C$108),INPUT!$C$109)/100,0)</f>
        <v>0.92</v>
      </c>
      <c r="L53" s="8">
        <f>IF(IF(AND(L51&gt;=0,L51&lt;INPUT!$C$76),1,0)=1,IF(L51&lt;5,CHOOSE(L51+1,INPUT!$C$104,INPUT!$C$105,INPUT!$C$106,INPUT!$C$107,INPUT!$C$108),INPUT!$C$109)/100,0)</f>
        <v>0.95</v>
      </c>
      <c r="M53" s="8">
        <f>IF(IF(AND(M51&gt;=0,M51&lt;INPUT!$C$76),1,0)=1,IF(M51&lt;5,CHOOSE(M51+1,INPUT!$C$104,INPUT!$C$105,INPUT!$C$106,INPUT!$C$107,INPUT!$C$108),INPUT!$C$109)/100,0)</f>
        <v>0.95</v>
      </c>
      <c r="N53" s="8">
        <f>IF(IF(AND(N51&gt;=0,N51&lt;INPUT!$C$76),1,0)=1,IF(N51&lt;5,CHOOSE(N51+1,INPUT!$C$104,INPUT!$C$105,INPUT!$C$106,INPUT!$C$107,INPUT!$C$108),INPUT!$C$109)/100,0)</f>
        <v>0.95</v>
      </c>
      <c r="O53" s="8">
        <f>IF(IF(AND(O51&gt;=0,O51&lt;INPUT!$C$76),1,0)=1,IF(O51&lt;5,CHOOSE(O51+1,INPUT!$C$104,INPUT!$C$105,INPUT!$C$106,INPUT!$C$107,INPUT!$C$108),INPUT!$C$109)/100,0)</f>
        <v>0.95</v>
      </c>
      <c r="P53" s="8">
        <f>IF(IF(AND(P51&gt;=0,P51&lt;INPUT!$C$76),1,0)=1,IF(P51&lt;5,CHOOSE(P51+1,INPUT!$C$104,INPUT!$C$105,INPUT!$C$106,INPUT!$C$107,INPUT!$C$108),INPUT!$C$109)/100,0)</f>
        <v>0.95</v>
      </c>
      <c r="Q53" s="8">
        <f>IF(IF(AND(Q51&gt;=0,Q51&lt;INPUT!$C$76),1,0)=1,IF(Q51&lt;5,CHOOSE(Q51+1,INPUT!$C$104,INPUT!$C$105,INPUT!$C$106,INPUT!$C$107,INPUT!$C$108),INPUT!$C$109)/100,0)</f>
        <v>0.95</v>
      </c>
      <c r="R53" s="8">
        <f>IF(IF(AND(R51&gt;=0,R51&lt;INPUT!$C$76),1,0)=1,IF(R51&lt;5,CHOOSE(R51+1,INPUT!$C$104,INPUT!$C$105,INPUT!$C$106,INPUT!$C$107,INPUT!$C$108),INPUT!$C$109)/100,0)</f>
        <v>0.95</v>
      </c>
      <c r="S53" s="8">
        <f>IF(IF(AND(S51&gt;=0,S51&lt;INPUT!$C$76),1,0)=1,IF(S51&lt;5,CHOOSE(S51+1,INPUT!$C$104,INPUT!$C$105,INPUT!$C$106,INPUT!$C$107,INPUT!$C$108),INPUT!$C$109)/100,0)</f>
        <v>0.95</v>
      </c>
      <c r="T53" s="8">
        <f>IF(IF(AND(T51&gt;=0,T51&lt;INPUT!$C$76),1,0)=1,IF(T51&lt;5,CHOOSE(T51+1,INPUT!$C$104,INPUT!$C$105,INPUT!$C$106,INPUT!$C$107,INPUT!$C$108),INPUT!$C$109)/100,0)</f>
        <v>0.95</v>
      </c>
      <c r="U53" s="8">
        <f>IF(IF(AND(U51&gt;=0,U51&lt;INPUT!$C$76),1,0)=1,IF(U51&lt;5,CHOOSE(U51+1,INPUT!$C$104,INPUT!$C$105,INPUT!$C$106,INPUT!$C$107,INPUT!$C$108),INPUT!$C$109)/100,0)</f>
        <v>0.95</v>
      </c>
      <c r="V53" s="8">
        <f>IF(IF(AND(V51&gt;=0,V51&lt;INPUT!$C$76),1,0)=1,IF(V51&lt;5,CHOOSE(V51+1,INPUT!$C$104,INPUT!$C$105,INPUT!$C$106,INPUT!$C$107,INPUT!$C$108),INPUT!$C$109)/100,0)</f>
        <v>0.95</v>
      </c>
      <c r="W53" s="8">
        <f>IF(IF(AND(W51&gt;=0,W51&lt;INPUT!$C$76),1,0)=1,IF(W51&lt;5,CHOOSE(W51+1,INPUT!$C$104,INPUT!$C$105,INPUT!$C$106,INPUT!$C$107,INPUT!$C$108),INPUT!$C$109)/100,0)</f>
        <v>0.95</v>
      </c>
      <c r="X53" s="8">
        <f>IF(IF(AND(X51&gt;=0,X51&lt;INPUT!$C$76),1,0)=1,IF(X51&lt;5,CHOOSE(X51+1,INPUT!$C$104,INPUT!$C$105,INPUT!$C$106,INPUT!$C$107,INPUT!$C$108),INPUT!$C$109)/100,0)</f>
        <v>0.95</v>
      </c>
      <c r="Y53" s="8">
        <f>IF(IF(AND(Y51&gt;=0,Y51&lt;INPUT!$C$76),1,0)=1,IF(Y51&lt;5,CHOOSE(Y51+1,INPUT!$C$104,INPUT!$C$105,INPUT!$C$106,INPUT!$C$107,INPUT!$C$108),INPUT!$C$109)/100,0)</f>
        <v>0.95</v>
      </c>
      <c r="Z53" s="8">
        <f>IF(IF(AND(Z51&gt;=0,Z51&lt;INPUT!$C$76),1,0)=1,IF(Z51&lt;5,CHOOSE(Z51+1,INPUT!$C$104,INPUT!$C$105,INPUT!$C$106,INPUT!$C$107,INPUT!$C$108),INPUT!$C$109)/100,0)</f>
        <v>0.95</v>
      </c>
      <c r="AA53" s="8">
        <f>IF(IF(AND(AA51&gt;=0,AA51&lt;INPUT!$C$76),1,0)=1,IF(AA51&lt;5,CHOOSE(AA51+1,INPUT!$C$104,INPUT!$C$105,INPUT!$C$106,INPUT!$C$107,INPUT!$C$108),INPUT!$C$109)/100,0)</f>
        <v>0.95</v>
      </c>
      <c r="AB53" s="8">
        <f>IF(IF(AND(AB51&gt;=0,AB51&lt;INPUT!$C$76),1,0)=1,IF(AB51&lt;5,CHOOSE(AB51+1,INPUT!$C$104,INPUT!$C$105,INPUT!$C$106,INPUT!$C$107,INPUT!$C$108),INPUT!$C$109)/100,0)</f>
        <v>0.95</v>
      </c>
      <c r="AC53" s="8">
        <f>IF(IF(AND(AC51&gt;=0,AC51&lt;INPUT!$C$76),1,0)=1,IF(AC51&lt;5,CHOOSE(AC51+1,INPUT!$C$104,INPUT!$C$105,INPUT!$C$106,INPUT!$C$107,INPUT!$C$108),INPUT!$C$109)/100,0)</f>
        <v>0.95</v>
      </c>
      <c r="AD53" s="8">
        <f>IF(IF(AND(AD51&gt;=0,AD51&lt;INPUT!$C$76),1,0)=1,IF(AD51&lt;5,CHOOSE(AD51+1,INPUT!$C$104,INPUT!$C$105,INPUT!$C$106,INPUT!$C$107,INPUT!$C$108),INPUT!$C$109)/100,0)</f>
        <v>0.95</v>
      </c>
      <c r="AE53" s="8">
        <f>IF(IF(AND(AE51&gt;=0,AE51&lt;INPUT!$C$76),1,0)=1,IF(AE51&lt;5,CHOOSE(AE51+1,INPUT!$C$104,INPUT!$C$105,INPUT!$C$106,INPUT!$C$107,INPUT!$C$108),INPUT!$C$109)/100,0)</f>
        <v>0.95</v>
      </c>
      <c r="AF53" s="8">
        <f>IF(IF(AND(AF51&gt;=0,AF51&lt;INPUT!$C$76),1,0)=1,IF(AF51&lt;5,CHOOSE(AF51+1,INPUT!$C$104,INPUT!$C$105,INPUT!$C$106,INPUT!$C$107,INPUT!$C$108),INPUT!$C$109)/100,0)</f>
        <v>0.95</v>
      </c>
      <c r="AG53" s="8">
        <f>IF(IF(AND(AG51&gt;=0,AG51&lt;INPUT!$C$76),1,0)=1,IF(AG51&lt;5,CHOOSE(AG51+1,INPUT!$C$104,INPUT!$C$105,INPUT!$C$106,INPUT!$C$107,INPUT!$C$108),INPUT!$C$109)/100,0)</f>
        <v>0.95</v>
      </c>
      <c r="AH53" s="8">
        <f>IF(IF(AND(AH51&gt;=0,AH51&lt;INPUT!$C$76),1,0)=1,IF(AH51&lt;5,CHOOSE(AH51+1,INPUT!$C$104,INPUT!$C$105,INPUT!$C$106,INPUT!$C$107,INPUT!$C$108),INPUT!$C$109)/100,0)</f>
        <v>0.95</v>
      </c>
      <c r="AI53" s="8">
        <f>IF(IF(AND(AI51&gt;=0,AI51&lt;INPUT!$C$76),1,0)=1,IF(AI51&lt;5,CHOOSE(AI51+1,INPUT!$C$104,INPUT!$C$105,INPUT!$C$106,INPUT!$C$107,INPUT!$C$108),INPUT!$C$109)/100,0)</f>
        <v>0.95</v>
      </c>
      <c r="AJ53" s="8">
        <f>IF(IF(AND(AJ51&gt;=0,AJ51&lt;INPUT!$C$76),1,0)=1,IF(AJ51&lt;5,CHOOSE(AJ51+1,INPUT!$C$104,INPUT!$C$105,INPUT!$C$106,INPUT!$C$107,INPUT!$C$108),INPUT!$C$109)/100,0)</f>
        <v>0.95</v>
      </c>
      <c r="AK53" s="8">
        <f>IF(IF(AND(AK51&gt;=0,AK51&lt;INPUT!$C$76),1,0)=1,IF(AK51&lt;5,CHOOSE(AK51+1,INPUT!$C$104,INPUT!$C$105,INPUT!$C$106,INPUT!$C$107,INPUT!$C$108),INPUT!$C$109)/100,0)</f>
        <v>0.95</v>
      </c>
      <c r="AL53" s="8">
        <f>IF(IF(AND(AL51&gt;=0,AL51&lt;INPUT!$C$76),1,0)=1,IF(AL51&lt;5,CHOOSE(AL51+1,INPUT!$C$104,INPUT!$C$105,INPUT!$C$106,INPUT!$C$107,INPUT!$C$108),INPUT!$C$109)/100,0)</f>
        <v>0.95</v>
      </c>
      <c r="AM53" s="8">
        <f>IF(IF(AND(AM51&gt;=0,AM51&lt;INPUT!$C$76),1,0)=1,IF(AM51&lt;5,CHOOSE(AM51+1,INPUT!$C$104,INPUT!$C$105,INPUT!$C$106,INPUT!$C$107,INPUT!$C$108),INPUT!$C$109)/100,0)</f>
        <v>0.95</v>
      </c>
      <c r="AN53" s="8">
        <f>IF(IF(AND(AN51&gt;=0,AN51&lt;INPUT!$C$76),1,0)=1,IF(AN51&lt;5,CHOOSE(AN51+1,INPUT!$C$104,INPUT!$C$105,INPUT!$C$106,INPUT!$C$107,INPUT!$C$108),INPUT!$C$109)/100,0)</f>
        <v>0.95</v>
      </c>
      <c r="AO53" s="8">
        <f>IF(IF(AND(AO51&gt;=0,AO51&lt;INPUT!$C$76),1,0)=1,IF(AO51&lt;5,CHOOSE(AO51+1,INPUT!$C$104,INPUT!$C$105,INPUT!$C$106,INPUT!$C$107,INPUT!$C$108),INPUT!$C$109)/100,0)</f>
        <v>0.95</v>
      </c>
      <c r="AP53" s="8">
        <f>IF(IF(AND(AP51&gt;=0,AP51&lt;INPUT!$C$76),1,0)=1,IF(AP51&lt;5,CHOOSE(AP51+1,INPUT!$C$104,INPUT!$C$105,INPUT!$C$106,INPUT!$C$107,INPUT!$C$108),INPUT!$C$109)/100,0)</f>
        <v>0.95</v>
      </c>
      <c r="AQ53" s="8">
        <f>IF(IF(AND(AQ51&gt;=0,AQ51&lt;INPUT!$C$76),1,0)=1,IF(AQ51&lt;5,CHOOSE(AQ51+1,INPUT!$C$104,INPUT!$C$105,INPUT!$C$106,INPUT!$C$107,INPUT!$C$108),INPUT!$C$109)/100,0)</f>
        <v>0.95</v>
      </c>
      <c r="AR53" s="8">
        <f>IF(IF(AND(AR51&gt;=0,AR51&lt;INPUT!$C$76),1,0)=1,IF(AR51&lt;5,CHOOSE(AR51+1,INPUT!$C$104,INPUT!$C$105,INPUT!$C$106,INPUT!$C$107,INPUT!$C$108),INPUT!$C$109)/100,0)</f>
        <v>0.95</v>
      </c>
      <c r="AS53" s="8">
        <f>IF(IF(AND(AS51&gt;=0,AS51&lt;INPUT!$C$76),1,0)=1,IF(AS51&lt;5,CHOOSE(AS51+1,INPUT!$C$104,INPUT!$C$105,INPUT!$C$106,INPUT!$C$107,INPUT!$C$108),INPUT!$C$109)/100,0)</f>
        <v>0.95</v>
      </c>
      <c r="AT53" s="8">
        <f>IF(IF(AND(AT51&gt;=0,AT51&lt;INPUT!$C$76),1,0)=1,IF(AT51&lt;5,CHOOSE(AT51+1,INPUT!$C$104,INPUT!$C$105,INPUT!$C$106,INPUT!$C$107,INPUT!$C$108),INPUT!$C$109)/100,0)</f>
        <v>0.95</v>
      </c>
      <c r="AU53" s="8">
        <f>IF(IF(AND(AU51&gt;=0,AU51&lt;INPUT!$C$76),1,0)=1,IF(AU51&lt;5,CHOOSE(AU51+1,INPUT!$C$104,INPUT!$C$105,INPUT!$C$106,INPUT!$C$107,INPUT!$C$108),INPUT!$C$109)/100,0)</f>
        <v>0.95</v>
      </c>
      <c r="AV53" s="8">
        <f>IF(IF(AND(AV51&gt;=0,AV51&lt;INPUT!$C$76),1,0)=1,IF(AV51&lt;5,CHOOSE(AV51+1,INPUT!$C$104,INPUT!$C$105,INPUT!$C$106,INPUT!$C$107,INPUT!$C$108),INPUT!$C$109)/100,0)</f>
        <v>0.95</v>
      </c>
      <c r="AW53" s="8">
        <f>IF(IF(AND(AW51&gt;=0,AW51&lt;INPUT!$C$76),1,0)=1,IF(AW51&lt;5,CHOOSE(AW51+1,INPUT!$C$104,INPUT!$C$105,INPUT!$C$106,INPUT!$C$107,INPUT!$C$108),INPUT!$C$109)/100,0)</f>
        <v>0.95</v>
      </c>
      <c r="AX53" s="8">
        <f>IF(IF(AND(AX51&gt;=0,AX51&lt;INPUT!$C$76),1,0)=1,IF(AX51&lt;5,CHOOSE(AX51+1,INPUT!$C$104,INPUT!$C$105,INPUT!$C$106,INPUT!$C$107,INPUT!$C$108),INPUT!$C$109)/100,0)</f>
        <v>0.95</v>
      </c>
      <c r="AY53" s="8">
        <f>IF(IF(AND(AY51&gt;=0,AY51&lt;INPUT!$C$76),1,0)=1,IF(AY51&lt;5,CHOOSE(AY51+1,INPUT!$C$104,INPUT!$C$105,INPUT!$C$106,INPUT!$C$107,INPUT!$C$108),INPUT!$C$109)/100,0)</f>
        <v>0.95</v>
      </c>
      <c r="AZ53" s="8">
        <f>IF(IF(AND(AZ51&gt;=0,AZ51&lt;INPUT!$C$76),1,0)=1,IF(AZ51&lt;5,CHOOSE(AZ51+1,INPUT!$C$104,INPUT!$C$105,INPUT!$C$106,INPUT!$C$107,INPUT!$C$108),INPUT!$C$109)/100,0)</f>
        <v>0.95</v>
      </c>
      <c r="BA53" s="8">
        <f>IF(IF(AND(BA51&gt;=0,BA51&lt;INPUT!$C$76),1,0)=1,IF(BA51&lt;5,CHOOSE(BA51+1,INPUT!$C$104,INPUT!$C$105,INPUT!$C$106,INPUT!$C$107,INPUT!$C$108),INPUT!$C$109)/100,0)</f>
        <v>0</v>
      </c>
      <c r="BB53" s="8">
        <f>IF(IF(AND(BB51&gt;=0,BB51&lt;INPUT!$C$76),1,0)=1,IF(BB51&lt;5,CHOOSE(BB51+1,INPUT!$C$104,INPUT!$C$105,INPUT!$C$106,INPUT!$C$107,INPUT!$C$108),INPUT!$C$109)/100,0)</f>
        <v>0</v>
      </c>
      <c r="BC53" s="8">
        <f>IF(IF(AND(BC51&gt;=0,BC51&lt;INPUT!$C$76),1,0)=1,IF(BC51&lt;5,CHOOSE(BC51+1,INPUT!$C$104,INPUT!$C$105,INPUT!$C$106,INPUT!$C$107,INPUT!$C$108),INPUT!$C$109)/100,0)</f>
        <v>0</v>
      </c>
      <c r="BD53" s="8">
        <f>IF(IF(AND(BD51&gt;=0,BD51&lt;INPUT!$C$76),1,0)=1,IF(BD51&lt;5,CHOOSE(BD51+1,INPUT!$C$104,INPUT!$C$105,INPUT!$C$106,INPUT!$C$107,INPUT!$C$108),INPUT!$C$109)/100,0)</f>
        <v>0</v>
      </c>
      <c r="BE53" s="8">
        <f>IF(IF(AND(BE51&gt;=0,BE51&lt;INPUT!$C$76),1,0)=1,IF(BE51&lt;5,CHOOSE(BE51+1,INPUT!$C$104,INPUT!$C$105,INPUT!$C$106,INPUT!$C$107,INPUT!$C$108),INPUT!$C$109)/100,0)</f>
        <v>0</v>
      </c>
      <c r="BF53" s="8">
        <f>IF(IF(AND(BF51&gt;=0,BF51&lt;INPUT!$C$76),1,0)=1,IF(BF51&lt;5,CHOOSE(BF51+1,INPUT!$C$104,INPUT!$C$105,INPUT!$C$106,INPUT!$C$107,INPUT!$C$108),INPUT!$C$109)/100,0)</f>
        <v>0</v>
      </c>
      <c r="BG53" s="8">
        <f>IF(IF(AND(BG51&gt;=0,BG51&lt;INPUT!$C$76),1,0)=1,IF(BG51&lt;5,CHOOSE(BG51+1,INPUT!$C$104,INPUT!$C$105,INPUT!$C$106,INPUT!$C$107,INPUT!$C$108),INPUT!$C$109)/100,0)</f>
        <v>0</v>
      </c>
      <c r="BH53" s="8">
        <f>IF(IF(AND(BH51&gt;=0,BH51&lt;INPUT!$C$76),1,0)=1,IF(BH51&lt;5,CHOOSE(BH51+1,INPUT!$C$104,INPUT!$C$105,INPUT!$C$106,INPUT!$C$107,INPUT!$C$108),INPUT!$C$109)/100,0)</f>
        <v>0</v>
      </c>
      <c r="BI53" s="8">
        <f>IF(IF(AND(BI51&gt;=0,BI51&lt;INPUT!$C$76),1,0)=1,IF(BI51&lt;5,CHOOSE(BI51+1,INPUT!$C$104,INPUT!$C$105,INPUT!$C$106,INPUT!$C$107,INPUT!$C$108),INPUT!$C$109)/100,0)</f>
        <v>0</v>
      </c>
      <c r="BJ53" s="8">
        <f>IF(IF(AND(BJ51&gt;=0,BJ51&lt;INPUT!$C$76),1,0)=1,IF(BJ51&lt;5,CHOOSE(BJ51+1,INPUT!$C$104,INPUT!$C$105,INPUT!$C$106,INPUT!$C$107,INPUT!$C$108),INPUT!$C$109)/100,0)</f>
        <v>0</v>
      </c>
      <c r="BK53" s="8">
        <f>IF(IF(AND(BK51&gt;=0,BK51&lt;INPUT!$C$76),1,0)=1,IF(BK51&lt;5,CHOOSE(BK51+1,INPUT!$C$104,INPUT!$C$105,INPUT!$C$106,INPUT!$C$107,INPUT!$C$108),INPUT!$C$109)/100,0)</f>
        <v>0</v>
      </c>
    </row>
    <row r="54" spans="2:63" x14ac:dyDescent="0.25">
      <c r="B54" s="1" t="s">
        <v>347</v>
      </c>
      <c r="D54" s="8">
        <f>IF(IF(AND(D51&gt;=0,D51&lt;INPUT!$C$76),1,0)=1,IF(D51&lt;5,CHOOSE(D51+1,INPUT!$C$110,INPUT!$C$111,INPUT!$C$112,INPUT!$C$113,INPUT!$C$114),INPUT!$C$115)/100,0)</f>
        <v>0</v>
      </c>
      <c r="E54" s="8">
        <f>IF(IF(AND(E51&gt;=0,E51&lt;INPUT!$C$76),1,0)=1,IF(E51&lt;5,CHOOSE(E51+1,INPUT!$C$110,INPUT!$C$111,INPUT!$C$112,INPUT!$C$113,INPUT!$C$114),INPUT!$C$115)/100,0)</f>
        <v>0</v>
      </c>
      <c r="F54" s="8">
        <f>IF(IF(AND(F51&gt;=0,F51&lt;INPUT!$C$76),1,0)=1,IF(F51&lt;5,CHOOSE(F51+1,INPUT!$C$110,INPUT!$C$111,INPUT!$C$112,INPUT!$C$113,INPUT!$C$114),INPUT!$C$115)/100,0)</f>
        <v>0</v>
      </c>
      <c r="G54" s="8">
        <f>IF(IF(AND(G51&gt;=0,G51&lt;INPUT!$C$76),1,0)=1,IF(G51&lt;5,CHOOSE(G51+1,INPUT!$C$110,INPUT!$C$111,INPUT!$C$112,INPUT!$C$113,INPUT!$C$114),INPUT!$C$115)/100,0)</f>
        <v>0</v>
      </c>
      <c r="H54" s="8">
        <f>IF(IF(AND(H51&gt;=0,H51&lt;INPUT!$C$76),1,0)=1,IF(H51&lt;5,CHOOSE(H51+1,INPUT!$C$110,INPUT!$C$111,INPUT!$C$112,INPUT!$C$113,INPUT!$C$114),INPUT!$C$115)/100,0)</f>
        <v>0.45</v>
      </c>
      <c r="I54" s="8">
        <f>IF(IF(AND(I51&gt;=0,I51&lt;INPUT!$C$76),1,0)=1,IF(I51&lt;5,CHOOSE(I51+1,INPUT!$C$110,INPUT!$C$111,INPUT!$C$112,INPUT!$C$113,INPUT!$C$114),INPUT!$C$115)/100,0)</f>
        <v>0.55000000000000004</v>
      </c>
      <c r="J54" s="8">
        <f>IF(IF(AND(J51&gt;=0,J51&lt;INPUT!$C$76),1,0)=1,IF(J51&lt;5,CHOOSE(J51+1,INPUT!$C$110,INPUT!$C$111,INPUT!$C$112,INPUT!$C$113,INPUT!$C$114),INPUT!$C$115)/100,0)</f>
        <v>0.62</v>
      </c>
      <c r="K54" s="8">
        <f>IF(IF(AND(K51&gt;=0,K51&lt;INPUT!$C$76),1,0)=1,IF(K51&lt;5,CHOOSE(K51+1,INPUT!$C$110,INPUT!$C$111,INPUT!$C$112,INPUT!$C$113,INPUT!$C$114),INPUT!$C$115)/100,0)</f>
        <v>0.68</v>
      </c>
      <c r="L54" s="8">
        <f>IF(IF(AND(L51&gt;=0,L51&lt;INPUT!$C$76),1,0)=1,IF(L51&lt;5,CHOOSE(L51+1,INPUT!$C$110,INPUT!$C$111,INPUT!$C$112,INPUT!$C$113,INPUT!$C$114),INPUT!$C$115)/100,0)</f>
        <v>0.7</v>
      </c>
      <c r="M54" s="8">
        <f>IF(IF(AND(M51&gt;=0,M51&lt;INPUT!$C$76),1,0)=1,IF(M51&lt;5,CHOOSE(M51+1,INPUT!$C$110,INPUT!$C$111,INPUT!$C$112,INPUT!$C$113,INPUT!$C$114),INPUT!$C$115)/100,0)</f>
        <v>0.7</v>
      </c>
      <c r="N54" s="8">
        <f>IF(IF(AND(N51&gt;=0,N51&lt;INPUT!$C$76),1,0)=1,IF(N51&lt;5,CHOOSE(N51+1,INPUT!$C$110,INPUT!$C$111,INPUT!$C$112,INPUT!$C$113,INPUT!$C$114),INPUT!$C$115)/100,0)</f>
        <v>0.7</v>
      </c>
      <c r="O54" s="8">
        <f>IF(IF(AND(O51&gt;=0,O51&lt;INPUT!$C$76),1,0)=1,IF(O51&lt;5,CHOOSE(O51+1,INPUT!$C$110,INPUT!$C$111,INPUT!$C$112,INPUT!$C$113,INPUT!$C$114),INPUT!$C$115)/100,0)</f>
        <v>0.7</v>
      </c>
      <c r="P54" s="8">
        <f>IF(IF(AND(P51&gt;=0,P51&lt;INPUT!$C$76),1,0)=1,IF(P51&lt;5,CHOOSE(P51+1,INPUT!$C$110,INPUT!$C$111,INPUT!$C$112,INPUT!$C$113,INPUT!$C$114),INPUT!$C$115)/100,0)</f>
        <v>0.7</v>
      </c>
      <c r="Q54" s="8">
        <f>IF(IF(AND(Q51&gt;=0,Q51&lt;INPUT!$C$76),1,0)=1,IF(Q51&lt;5,CHOOSE(Q51+1,INPUT!$C$110,INPUT!$C$111,INPUT!$C$112,INPUT!$C$113,INPUT!$C$114),INPUT!$C$115)/100,0)</f>
        <v>0.7</v>
      </c>
      <c r="R54" s="8">
        <f>IF(IF(AND(R51&gt;=0,R51&lt;INPUT!$C$76),1,0)=1,IF(R51&lt;5,CHOOSE(R51+1,INPUT!$C$110,INPUT!$C$111,INPUT!$C$112,INPUT!$C$113,INPUT!$C$114),INPUT!$C$115)/100,0)</f>
        <v>0.7</v>
      </c>
      <c r="S54" s="8">
        <f>IF(IF(AND(S51&gt;=0,S51&lt;INPUT!$C$76),1,0)=1,IF(S51&lt;5,CHOOSE(S51+1,INPUT!$C$110,INPUT!$C$111,INPUT!$C$112,INPUT!$C$113,INPUT!$C$114),INPUT!$C$115)/100,0)</f>
        <v>0.7</v>
      </c>
      <c r="T54" s="8">
        <f>IF(IF(AND(T51&gt;=0,T51&lt;INPUT!$C$76),1,0)=1,IF(T51&lt;5,CHOOSE(T51+1,INPUT!$C$110,INPUT!$C$111,INPUT!$C$112,INPUT!$C$113,INPUT!$C$114),INPUT!$C$115)/100,0)</f>
        <v>0.7</v>
      </c>
      <c r="U54" s="8">
        <f>IF(IF(AND(U51&gt;=0,U51&lt;INPUT!$C$76),1,0)=1,IF(U51&lt;5,CHOOSE(U51+1,INPUT!$C$110,INPUT!$C$111,INPUT!$C$112,INPUT!$C$113,INPUT!$C$114),INPUT!$C$115)/100,0)</f>
        <v>0.7</v>
      </c>
      <c r="V54" s="8">
        <f>IF(IF(AND(V51&gt;=0,V51&lt;INPUT!$C$76),1,0)=1,IF(V51&lt;5,CHOOSE(V51+1,INPUT!$C$110,INPUT!$C$111,INPUT!$C$112,INPUT!$C$113,INPUT!$C$114),INPUT!$C$115)/100,0)</f>
        <v>0.7</v>
      </c>
      <c r="W54" s="8">
        <f>IF(IF(AND(W51&gt;=0,W51&lt;INPUT!$C$76),1,0)=1,IF(W51&lt;5,CHOOSE(W51+1,INPUT!$C$110,INPUT!$C$111,INPUT!$C$112,INPUT!$C$113,INPUT!$C$114),INPUT!$C$115)/100,0)</f>
        <v>0.7</v>
      </c>
      <c r="X54" s="8">
        <f>IF(IF(AND(X51&gt;=0,X51&lt;INPUT!$C$76),1,0)=1,IF(X51&lt;5,CHOOSE(X51+1,INPUT!$C$110,INPUT!$C$111,INPUT!$C$112,INPUT!$C$113,INPUT!$C$114),INPUT!$C$115)/100,0)</f>
        <v>0.7</v>
      </c>
      <c r="Y54" s="8">
        <f>IF(IF(AND(Y51&gt;=0,Y51&lt;INPUT!$C$76),1,0)=1,IF(Y51&lt;5,CHOOSE(Y51+1,INPUT!$C$110,INPUT!$C$111,INPUT!$C$112,INPUT!$C$113,INPUT!$C$114),INPUT!$C$115)/100,0)</f>
        <v>0.7</v>
      </c>
      <c r="Z54" s="8">
        <f>IF(IF(AND(Z51&gt;=0,Z51&lt;INPUT!$C$76),1,0)=1,IF(Z51&lt;5,CHOOSE(Z51+1,INPUT!$C$110,INPUT!$C$111,INPUT!$C$112,INPUT!$C$113,INPUT!$C$114),INPUT!$C$115)/100,0)</f>
        <v>0.7</v>
      </c>
      <c r="AA54" s="8">
        <f>IF(IF(AND(AA51&gt;=0,AA51&lt;INPUT!$C$76),1,0)=1,IF(AA51&lt;5,CHOOSE(AA51+1,INPUT!$C$110,INPUT!$C$111,INPUT!$C$112,INPUT!$C$113,INPUT!$C$114),INPUT!$C$115)/100,0)</f>
        <v>0.7</v>
      </c>
      <c r="AB54" s="8">
        <f>IF(IF(AND(AB51&gt;=0,AB51&lt;INPUT!$C$76),1,0)=1,IF(AB51&lt;5,CHOOSE(AB51+1,INPUT!$C$110,INPUT!$C$111,INPUT!$C$112,INPUT!$C$113,INPUT!$C$114),INPUT!$C$115)/100,0)</f>
        <v>0.7</v>
      </c>
      <c r="AC54" s="8">
        <f>IF(IF(AND(AC51&gt;=0,AC51&lt;INPUT!$C$76),1,0)=1,IF(AC51&lt;5,CHOOSE(AC51+1,INPUT!$C$110,INPUT!$C$111,INPUT!$C$112,INPUT!$C$113,INPUT!$C$114),INPUT!$C$115)/100,0)</f>
        <v>0.7</v>
      </c>
      <c r="AD54" s="8">
        <f>IF(IF(AND(AD51&gt;=0,AD51&lt;INPUT!$C$76),1,0)=1,IF(AD51&lt;5,CHOOSE(AD51+1,INPUT!$C$110,INPUT!$C$111,INPUT!$C$112,INPUT!$C$113,INPUT!$C$114),INPUT!$C$115)/100,0)</f>
        <v>0.7</v>
      </c>
      <c r="AE54" s="8">
        <f>IF(IF(AND(AE51&gt;=0,AE51&lt;INPUT!$C$76),1,0)=1,IF(AE51&lt;5,CHOOSE(AE51+1,INPUT!$C$110,INPUT!$C$111,INPUT!$C$112,INPUT!$C$113,INPUT!$C$114),INPUT!$C$115)/100,0)</f>
        <v>0.7</v>
      </c>
      <c r="AF54" s="8">
        <f>IF(IF(AND(AF51&gt;=0,AF51&lt;INPUT!$C$76),1,0)=1,IF(AF51&lt;5,CHOOSE(AF51+1,INPUT!$C$110,INPUT!$C$111,INPUT!$C$112,INPUT!$C$113,INPUT!$C$114),INPUT!$C$115)/100,0)</f>
        <v>0.7</v>
      </c>
      <c r="AG54" s="8">
        <f>IF(IF(AND(AG51&gt;=0,AG51&lt;INPUT!$C$76),1,0)=1,IF(AG51&lt;5,CHOOSE(AG51+1,INPUT!$C$110,INPUT!$C$111,INPUT!$C$112,INPUT!$C$113,INPUT!$C$114),INPUT!$C$115)/100,0)</f>
        <v>0.7</v>
      </c>
      <c r="AH54" s="8">
        <f>IF(IF(AND(AH51&gt;=0,AH51&lt;INPUT!$C$76),1,0)=1,IF(AH51&lt;5,CHOOSE(AH51+1,INPUT!$C$110,INPUT!$C$111,INPUT!$C$112,INPUT!$C$113,INPUT!$C$114),INPUT!$C$115)/100,0)</f>
        <v>0.7</v>
      </c>
      <c r="AI54" s="8">
        <f>IF(IF(AND(AI51&gt;=0,AI51&lt;INPUT!$C$76),1,0)=1,IF(AI51&lt;5,CHOOSE(AI51+1,INPUT!$C$110,INPUT!$C$111,INPUT!$C$112,INPUT!$C$113,INPUT!$C$114),INPUT!$C$115)/100,0)</f>
        <v>0.7</v>
      </c>
      <c r="AJ54" s="8">
        <f>IF(IF(AND(AJ51&gt;=0,AJ51&lt;INPUT!$C$76),1,0)=1,IF(AJ51&lt;5,CHOOSE(AJ51+1,INPUT!$C$110,INPUT!$C$111,INPUT!$C$112,INPUT!$C$113,INPUT!$C$114),INPUT!$C$115)/100,0)</f>
        <v>0.7</v>
      </c>
      <c r="AK54" s="8">
        <f>IF(IF(AND(AK51&gt;=0,AK51&lt;INPUT!$C$76),1,0)=1,IF(AK51&lt;5,CHOOSE(AK51+1,INPUT!$C$110,INPUT!$C$111,INPUT!$C$112,INPUT!$C$113,INPUT!$C$114),INPUT!$C$115)/100,0)</f>
        <v>0.7</v>
      </c>
      <c r="AL54" s="8">
        <f>IF(IF(AND(AL51&gt;=0,AL51&lt;INPUT!$C$76),1,0)=1,IF(AL51&lt;5,CHOOSE(AL51+1,INPUT!$C$110,INPUT!$C$111,INPUT!$C$112,INPUT!$C$113,INPUT!$C$114),INPUT!$C$115)/100,0)</f>
        <v>0.7</v>
      </c>
      <c r="AM54" s="8">
        <f>IF(IF(AND(AM51&gt;=0,AM51&lt;INPUT!$C$76),1,0)=1,IF(AM51&lt;5,CHOOSE(AM51+1,INPUT!$C$110,INPUT!$C$111,INPUT!$C$112,INPUT!$C$113,INPUT!$C$114),INPUT!$C$115)/100,0)</f>
        <v>0.7</v>
      </c>
      <c r="AN54" s="8">
        <f>IF(IF(AND(AN51&gt;=0,AN51&lt;INPUT!$C$76),1,0)=1,IF(AN51&lt;5,CHOOSE(AN51+1,INPUT!$C$110,INPUT!$C$111,INPUT!$C$112,INPUT!$C$113,INPUT!$C$114),INPUT!$C$115)/100,0)</f>
        <v>0.7</v>
      </c>
      <c r="AO54" s="8">
        <f>IF(IF(AND(AO51&gt;=0,AO51&lt;INPUT!$C$76),1,0)=1,IF(AO51&lt;5,CHOOSE(AO51+1,INPUT!$C$110,INPUT!$C$111,INPUT!$C$112,INPUT!$C$113,INPUT!$C$114),INPUT!$C$115)/100,0)</f>
        <v>0.7</v>
      </c>
      <c r="AP54" s="8">
        <f>IF(IF(AND(AP51&gt;=0,AP51&lt;INPUT!$C$76),1,0)=1,IF(AP51&lt;5,CHOOSE(AP51+1,INPUT!$C$110,INPUT!$C$111,INPUT!$C$112,INPUT!$C$113,INPUT!$C$114),INPUT!$C$115)/100,0)</f>
        <v>0.7</v>
      </c>
      <c r="AQ54" s="8">
        <f>IF(IF(AND(AQ51&gt;=0,AQ51&lt;INPUT!$C$76),1,0)=1,IF(AQ51&lt;5,CHOOSE(AQ51+1,INPUT!$C$110,INPUT!$C$111,INPUT!$C$112,INPUT!$C$113,INPUT!$C$114),INPUT!$C$115)/100,0)</f>
        <v>0.7</v>
      </c>
      <c r="AR54" s="8">
        <f>IF(IF(AND(AR51&gt;=0,AR51&lt;INPUT!$C$76),1,0)=1,IF(AR51&lt;5,CHOOSE(AR51+1,INPUT!$C$110,INPUT!$C$111,INPUT!$C$112,INPUT!$C$113,INPUT!$C$114),INPUT!$C$115)/100,0)</f>
        <v>0.7</v>
      </c>
      <c r="AS54" s="8">
        <f>IF(IF(AND(AS51&gt;=0,AS51&lt;INPUT!$C$76),1,0)=1,IF(AS51&lt;5,CHOOSE(AS51+1,INPUT!$C$110,INPUT!$C$111,INPUT!$C$112,INPUT!$C$113,INPUT!$C$114),INPUT!$C$115)/100,0)</f>
        <v>0.7</v>
      </c>
      <c r="AT54" s="8">
        <f>IF(IF(AND(AT51&gt;=0,AT51&lt;INPUT!$C$76),1,0)=1,IF(AT51&lt;5,CHOOSE(AT51+1,INPUT!$C$110,INPUT!$C$111,INPUT!$C$112,INPUT!$C$113,INPUT!$C$114),INPUT!$C$115)/100,0)</f>
        <v>0.7</v>
      </c>
      <c r="AU54" s="8">
        <f>IF(IF(AND(AU51&gt;=0,AU51&lt;INPUT!$C$76),1,0)=1,IF(AU51&lt;5,CHOOSE(AU51+1,INPUT!$C$110,INPUT!$C$111,INPUT!$C$112,INPUT!$C$113,INPUT!$C$114),INPUT!$C$115)/100,0)</f>
        <v>0.7</v>
      </c>
      <c r="AV54" s="8">
        <f>IF(IF(AND(AV51&gt;=0,AV51&lt;INPUT!$C$76),1,0)=1,IF(AV51&lt;5,CHOOSE(AV51+1,INPUT!$C$110,INPUT!$C$111,INPUT!$C$112,INPUT!$C$113,INPUT!$C$114),INPUT!$C$115)/100,0)</f>
        <v>0.7</v>
      </c>
      <c r="AW54" s="8">
        <f>IF(IF(AND(AW51&gt;=0,AW51&lt;INPUT!$C$76),1,0)=1,IF(AW51&lt;5,CHOOSE(AW51+1,INPUT!$C$110,INPUT!$C$111,INPUT!$C$112,INPUT!$C$113,INPUT!$C$114),INPUT!$C$115)/100,0)</f>
        <v>0.7</v>
      </c>
      <c r="AX54" s="8">
        <f>IF(IF(AND(AX51&gt;=0,AX51&lt;INPUT!$C$76),1,0)=1,IF(AX51&lt;5,CHOOSE(AX51+1,INPUT!$C$110,INPUT!$C$111,INPUT!$C$112,INPUT!$C$113,INPUT!$C$114),INPUT!$C$115)/100,0)</f>
        <v>0.7</v>
      </c>
      <c r="AY54" s="8">
        <f>IF(IF(AND(AY51&gt;=0,AY51&lt;INPUT!$C$76),1,0)=1,IF(AY51&lt;5,CHOOSE(AY51+1,INPUT!$C$110,INPUT!$C$111,INPUT!$C$112,INPUT!$C$113,INPUT!$C$114),INPUT!$C$115)/100,0)</f>
        <v>0.7</v>
      </c>
      <c r="AZ54" s="8">
        <f>IF(IF(AND(AZ51&gt;=0,AZ51&lt;INPUT!$C$76),1,0)=1,IF(AZ51&lt;5,CHOOSE(AZ51+1,INPUT!$C$110,INPUT!$C$111,INPUT!$C$112,INPUT!$C$113,INPUT!$C$114),INPUT!$C$115)/100,0)</f>
        <v>0.7</v>
      </c>
      <c r="BA54" s="8">
        <f>IF(IF(AND(BA51&gt;=0,BA51&lt;INPUT!$C$76),1,0)=1,IF(BA51&lt;5,CHOOSE(BA51+1,INPUT!$C$110,INPUT!$C$111,INPUT!$C$112,INPUT!$C$113,INPUT!$C$114),INPUT!$C$115)/100,0)</f>
        <v>0</v>
      </c>
      <c r="BB54" s="8">
        <f>IF(IF(AND(BB51&gt;=0,BB51&lt;INPUT!$C$76),1,0)=1,IF(BB51&lt;5,CHOOSE(BB51+1,INPUT!$C$110,INPUT!$C$111,INPUT!$C$112,INPUT!$C$113,INPUT!$C$114),INPUT!$C$115)/100,0)</f>
        <v>0</v>
      </c>
      <c r="BC54" s="8">
        <f>IF(IF(AND(BC51&gt;=0,BC51&lt;INPUT!$C$76),1,0)=1,IF(BC51&lt;5,CHOOSE(BC51+1,INPUT!$C$110,INPUT!$C$111,INPUT!$C$112,INPUT!$C$113,INPUT!$C$114),INPUT!$C$115)/100,0)</f>
        <v>0</v>
      </c>
      <c r="BD54" s="8">
        <f>IF(IF(AND(BD51&gt;=0,BD51&lt;INPUT!$C$76),1,0)=1,IF(BD51&lt;5,CHOOSE(BD51+1,INPUT!$C$110,INPUT!$C$111,INPUT!$C$112,INPUT!$C$113,INPUT!$C$114),INPUT!$C$115)/100,0)</f>
        <v>0</v>
      </c>
      <c r="BE54" s="8">
        <f>IF(IF(AND(BE51&gt;=0,BE51&lt;INPUT!$C$76),1,0)=1,IF(BE51&lt;5,CHOOSE(BE51+1,INPUT!$C$110,INPUT!$C$111,INPUT!$C$112,INPUT!$C$113,INPUT!$C$114),INPUT!$C$115)/100,0)</f>
        <v>0</v>
      </c>
      <c r="BF54" s="8">
        <f>IF(IF(AND(BF51&gt;=0,BF51&lt;INPUT!$C$76),1,0)=1,IF(BF51&lt;5,CHOOSE(BF51+1,INPUT!$C$110,INPUT!$C$111,INPUT!$C$112,INPUT!$C$113,INPUT!$C$114),INPUT!$C$115)/100,0)</f>
        <v>0</v>
      </c>
      <c r="BG54" s="8">
        <f>IF(IF(AND(BG51&gt;=0,BG51&lt;INPUT!$C$76),1,0)=1,IF(BG51&lt;5,CHOOSE(BG51+1,INPUT!$C$110,INPUT!$C$111,INPUT!$C$112,INPUT!$C$113,INPUT!$C$114),INPUT!$C$115)/100,0)</f>
        <v>0</v>
      </c>
      <c r="BH54" s="8">
        <f>IF(IF(AND(BH51&gt;=0,BH51&lt;INPUT!$C$76),1,0)=1,IF(BH51&lt;5,CHOOSE(BH51+1,INPUT!$C$110,INPUT!$C$111,INPUT!$C$112,INPUT!$C$113,INPUT!$C$114),INPUT!$C$115)/100,0)</f>
        <v>0</v>
      </c>
      <c r="BI54" s="8">
        <f>IF(IF(AND(BI51&gt;=0,BI51&lt;INPUT!$C$76),1,0)=1,IF(BI51&lt;5,CHOOSE(BI51+1,INPUT!$C$110,INPUT!$C$111,INPUT!$C$112,INPUT!$C$113,INPUT!$C$114),INPUT!$C$115)/100,0)</f>
        <v>0</v>
      </c>
      <c r="BJ54" s="8">
        <f>IF(IF(AND(BJ51&gt;=0,BJ51&lt;INPUT!$C$76),1,0)=1,IF(BJ51&lt;5,CHOOSE(BJ51+1,INPUT!$C$110,INPUT!$C$111,INPUT!$C$112,INPUT!$C$113,INPUT!$C$114),INPUT!$C$115)/100,0)</f>
        <v>0</v>
      </c>
      <c r="BK54" s="8">
        <f>IF(IF(AND(BK51&gt;=0,BK51&lt;INPUT!$C$76),1,0)=1,IF(BK51&lt;5,CHOOSE(BK51+1,INPUT!$C$110,INPUT!$C$111,INPUT!$C$112,INPUT!$C$113,INPUT!$C$114),INPUT!$C$115)/100,0)</f>
        <v>0</v>
      </c>
    </row>
    <row r="55" spans="2:63" x14ac:dyDescent="0.25">
      <c r="B55" s="1" t="s">
        <v>348</v>
      </c>
      <c r="D55">
        <f>IF(IF(AND(D51&gt;=0,D51&lt;INPUT!$C$76),1,0)=1,(1+INPUT!$C$79/100)^INT(D51/INPUT!$C$80),0)</f>
        <v>0</v>
      </c>
      <c r="E55">
        <f>IF(IF(AND(E51&gt;=0,E51&lt;INPUT!$C$76),1,0)=1,(1+INPUT!$C$79/100)^INT(E51/INPUT!$C$80),0)</f>
        <v>0</v>
      </c>
      <c r="F55">
        <f>IF(IF(AND(F51&gt;=0,F51&lt;INPUT!$C$76),1,0)=1,(1+INPUT!$C$79/100)^INT(F51/INPUT!$C$80),0)</f>
        <v>0</v>
      </c>
      <c r="G55">
        <f>IF(IF(AND(G51&gt;=0,G51&lt;INPUT!$C$76),1,0)=1,(1+INPUT!$C$79/100)^INT(G51/INPUT!$C$80),0)</f>
        <v>0</v>
      </c>
      <c r="H55">
        <f>IF(IF(AND(H51&gt;=0,H51&lt;INPUT!$C$76),1,0)=1,(1+INPUT!$C$79/100)^INT(H51/INPUT!$C$80),0)</f>
        <v>1</v>
      </c>
      <c r="I55">
        <f>IF(IF(AND(I51&gt;=0,I51&lt;INPUT!$C$76),1,0)=1,(1+INPUT!$C$79/100)^INT(I51/INPUT!$C$80),0)</f>
        <v>1</v>
      </c>
      <c r="J55">
        <f>IF(IF(AND(J51&gt;=0,J51&lt;INPUT!$C$76),1,0)=1,(1+INPUT!$C$79/100)^INT(J51/INPUT!$C$80),0)</f>
        <v>1.1000000000000001</v>
      </c>
      <c r="K55">
        <f>IF(IF(AND(K51&gt;=0,K51&lt;INPUT!$C$76),1,0)=1,(1+INPUT!$C$79/100)^INT(K51/INPUT!$C$80),0)</f>
        <v>1.1000000000000001</v>
      </c>
      <c r="L55">
        <f>IF(IF(AND(L51&gt;=0,L51&lt;INPUT!$C$76),1,0)=1,(1+INPUT!$C$79/100)^INT(L51/INPUT!$C$80),0)</f>
        <v>1.2100000000000002</v>
      </c>
      <c r="M55">
        <f>IF(IF(AND(M51&gt;=0,M51&lt;INPUT!$C$76),1,0)=1,(1+INPUT!$C$79/100)^INT(M51/INPUT!$C$80),0)</f>
        <v>1.2100000000000002</v>
      </c>
      <c r="N55">
        <f>IF(IF(AND(N51&gt;=0,N51&lt;INPUT!$C$76),1,0)=1,(1+INPUT!$C$79/100)^INT(N51/INPUT!$C$80),0)</f>
        <v>1.3310000000000004</v>
      </c>
      <c r="O55">
        <f>IF(IF(AND(O51&gt;=0,O51&lt;INPUT!$C$76),1,0)=1,(1+INPUT!$C$79/100)^INT(O51/INPUT!$C$80),0)</f>
        <v>1.3310000000000004</v>
      </c>
      <c r="P55">
        <f>IF(IF(AND(P51&gt;=0,P51&lt;INPUT!$C$76),1,0)=1,(1+INPUT!$C$79/100)^INT(P51/INPUT!$C$80),0)</f>
        <v>1.4641000000000004</v>
      </c>
      <c r="Q55">
        <f>IF(IF(AND(Q51&gt;=0,Q51&lt;INPUT!$C$76),1,0)=1,(1+INPUT!$C$79/100)^INT(Q51/INPUT!$C$80),0)</f>
        <v>1.4641000000000004</v>
      </c>
      <c r="R55">
        <f>IF(IF(AND(R51&gt;=0,R51&lt;INPUT!$C$76),1,0)=1,(1+INPUT!$C$79/100)^INT(R51/INPUT!$C$80),0)</f>
        <v>1.6105100000000006</v>
      </c>
      <c r="S55">
        <f>IF(IF(AND(S51&gt;=0,S51&lt;INPUT!$C$76),1,0)=1,(1+INPUT!$C$79/100)^INT(S51/INPUT!$C$80),0)</f>
        <v>1.6105100000000006</v>
      </c>
      <c r="T55">
        <f>IF(IF(AND(T51&gt;=0,T51&lt;INPUT!$C$76),1,0)=1,(1+INPUT!$C$79/100)^INT(T51/INPUT!$C$80),0)</f>
        <v>1.7715610000000008</v>
      </c>
      <c r="U55">
        <f>IF(IF(AND(U51&gt;=0,U51&lt;INPUT!$C$76),1,0)=1,(1+INPUT!$C$79/100)^INT(U51/INPUT!$C$80),0)</f>
        <v>1.7715610000000008</v>
      </c>
      <c r="V55">
        <f>IF(IF(AND(V51&gt;=0,V51&lt;INPUT!$C$76),1,0)=1,(1+INPUT!$C$79/100)^INT(V51/INPUT!$C$80),0)</f>
        <v>1.9487171000000012</v>
      </c>
      <c r="W55">
        <f>IF(IF(AND(W51&gt;=0,W51&lt;INPUT!$C$76),1,0)=1,(1+INPUT!$C$79/100)^INT(W51/INPUT!$C$80),0)</f>
        <v>1.9487171000000012</v>
      </c>
      <c r="X55">
        <f>IF(IF(AND(X51&gt;=0,X51&lt;INPUT!$C$76),1,0)=1,(1+INPUT!$C$79/100)^INT(X51/INPUT!$C$80),0)</f>
        <v>2.1435888100000011</v>
      </c>
      <c r="Y55">
        <f>IF(IF(AND(Y51&gt;=0,Y51&lt;INPUT!$C$76),1,0)=1,(1+INPUT!$C$79/100)^INT(Y51/INPUT!$C$80),0)</f>
        <v>2.1435888100000011</v>
      </c>
      <c r="Z55">
        <f>IF(IF(AND(Z51&gt;=0,Z51&lt;INPUT!$C$76),1,0)=1,(1+INPUT!$C$79/100)^INT(Z51/INPUT!$C$80),0)</f>
        <v>2.3579476910000015</v>
      </c>
      <c r="AA55">
        <f>IF(IF(AND(AA51&gt;=0,AA51&lt;INPUT!$C$76),1,0)=1,(1+INPUT!$C$79/100)^INT(AA51/INPUT!$C$80),0)</f>
        <v>2.3579476910000015</v>
      </c>
      <c r="AB55">
        <f>IF(IF(AND(AB51&gt;=0,AB51&lt;INPUT!$C$76),1,0)=1,(1+INPUT!$C$79/100)^INT(AB51/INPUT!$C$80),0)</f>
        <v>2.5937424601000019</v>
      </c>
      <c r="AC55">
        <f>IF(IF(AND(AC51&gt;=0,AC51&lt;INPUT!$C$76),1,0)=1,(1+INPUT!$C$79/100)^INT(AC51/INPUT!$C$80),0)</f>
        <v>2.5937424601000019</v>
      </c>
      <c r="AD55">
        <f>IF(IF(AND(AD51&gt;=0,AD51&lt;INPUT!$C$76),1,0)=1,(1+INPUT!$C$79/100)^INT(AD51/INPUT!$C$80),0)</f>
        <v>2.8531167061100025</v>
      </c>
      <c r="AE55">
        <f>IF(IF(AND(AE51&gt;=0,AE51&lt;INPUT!$C$76),1,0)=1,(1+INPUT!$C$79/100)^INT(AE51/INPUT!$C$80),0)</f>
        <v>2.8531167061100025</v>
      </c>
      <c r="AF55">
        <f>IF(IF(AND(AF51&gt;=0,AF51&lt;INPUT!$C$76),1,0)=1,(1+INPUT!$C$79/100)^INT(AF51/INPUT!$C$80),0)</f>
        <v>3.1384283767210026</v>
      </c>
      <c r="AG55">
        <f>IF(IF(AND(AG51&gt;=0,AG51&lt;INPUT!$C$76),1,0)=1,(1+INPUT!$C$79/100)^INT(AG51/INPUT!$C$80),0)</f>
        <v>3.1384283767210026</v>
      </c>
      <c r="AH55">
        <f>IF(IF(AND(AH51&gt;=0,AH51&lt;INPUT!$C$76),1,0)=1,(1+INPUT!$C$79/100)^INT(AH51/INPUT!$C$80),0)</f>
        <v>3.4522712143931029</v>
      </c>
      <c r="AI55">
        <f>IF(IF(AND(AI51&gt;=0,AI51&lt;INPUT!$C$76),1,0)=1,(1+INPUT!$C$79/100)^INT(AI51/INPUT!$C$80),0)</f>
        <v>3.4522712143931029</v>
      </c>
      <c r="AJ55">
        <f>IF(IF(AND(AJ51&gt;=0,AJ51&lt;INPUT!$C$76),1,0)=1,(1+INPUT!$C$79/100)^INT(AJ51/INPUT!$C$80),0)</f>
        <v>3.7974983358324139</v>
      </c>
      <c r="AK55">
        <f>IF(IF(AND(AK51&gt;=0,AK51&lt;INPUT!$C$76),1,0)=1,(1+INPUT!$C$79/100)^INT(AK51/INPUT!$C$80),0)</f>
        <v>3.7974983358324139</v>
      </c>
      <c r="AL55">
        <f>IF(IF(AND(AL51&gt;=0,AL51&lt;INPUT!$C$76),1,0)=1,(1+INPUT!$C$79/100)^INT(AL51/INPUT!$C$80),0)</f>
        <v>4.1772481694156554</v>
      </c>
      <c r="AM55">
        <f>IF(IF(AND(AM51&gt;=0,AM51&lt;INPUT!$C$76),1,0)=1,(1+INPUT!$C$79/100)^INT(AM51/INPUT!$C$80),0)</f>
        <v>4.1772481694156554</v>
      </c>
      <c r="AN55">
        <f>IF(IF(AND(AN51&gt;=0,AN51&lt;INPUT!$C$76),1,0)=1,(1+INPUT!$C$79/100)^INT(AN51/INPUT!$C$80),0)</f>
        <v>4.5949729863572211</v>
      </c>
      <c r="AO55">
        <f>IF(IF(AND(AO51&gt;=0,AO51&lt;INPUT!$C$76),1,0)=1,(1+INPUT!$C$79/100)^INT(AO51/INPUT!$C$80),0)</f>
        <v>4.5949729863572211</v>
      </c>
      <c r="AP55">
        <f>IF(IF(AND(AP51&gt;=0,AP51&lt;INPUT!$C$76),1,0)=1,(1+INPUT!$C$79/100)^INT(AP51/INPUT!$C$80),0)</f>
        <v>5.0544702849929433</v>
      </c>
      <c r="AQ55">
        <f>IF(IF(AND(AQ51&gt;=0,AQ51&lt;INPUT!$C$76),1,0)=1,(1+INPUT!$C$79/100)^INT(AQ51/INPUT!$C$80),0)</f>
        <v>5.0544702849929433</v>
      </c>
      <c r="AR55">
        <f>IF(IF(AND(AR51&gt;=0,AR51&lt;INPUT!$C$76),1,0)=1,(1+INPUT!$C$79/100)^INT(AR51/INPUT!$C$80),0)</f>
        <v>5.5599173134922379</v>
      </c>
      <c r="AS55">
        <f>IF(IF(AND(AS51&gt;=0,AS51&lt;INPUT!$C$76),1,0)=1,(1+INPUT!$C$79/100)^INT(AS51/INPUT!$C$80),0)</f>
        <v>5.5599173134922379</v>
      </c>
      <c r="AT55">
        <f>IF(IF(AND(AT51&gt;=0,AT51&lt;INPUT!$C$76),1,0)=1,(1+INPUT!$C$79/100)^INT(AT51/INPUT!$C$80),0)</f>
        <v>6.1159090448414632</v>
      </c>
      <c r="AU55">
        <f>IF(IF(AND(AU51&gt;=0,AU51&lt;INPUT!$C$76),1,0)=1,(1+INPUT!$C$79/100)^INT(AU51/INPUT!$C$80),0)</f>
        <v>6.1159090448414632</v>
      </c>
      <c r="AV55">
        <f>IF(IF(AND(AV51&gt;=0,AV51&lt;INPUT!$C$76),1,0)=1,(1+INPUT!$C$79/100)^INT(AV51/INPUT!$C$80),0)</f>
        <v>6.7274999493256091</v>
      </c>
      <c r="AW55">
        <f>IF(IF(AND(AW51&gt;=0,AW51&lt;INPUT!$C$76),1,0)=1,(1+INPUT!$C$79/100)^INT(AW51/INPUT!$C$80),0)</f>
        <v>6.7274999493256091</v>
      </c>
      <c r="AX55">
        <f>IF(IF(AND(AX51&gt;=0,AX51&lt;INPUT!$C$76),1,0)=1,(1+INPUT!$C$79/100)^INT(AX51/INPUT!$C$80),0)</f>
        <v>7.4002499442581708</v>
      </c>
      <c r="AY55">
        <f>IF(IF(AND(AY51&gt;=0,AY51&lt;INPUT!$C$76),1,0)=1,(1+INPUT!$C$79/100)^INT(AY51/INPUT!$C$80),0)</f>
        <v>7.4002499442581708</v>
      </c>
      <c r="AZ55">
        <f>IF(IF(AND(AZ51&gt;=0,AZ51&lt;INPUT!$C$76),1,0)=1,(1+INPUT!$C$79/100)^INT(AZ51/INPUT!$C$80),0)</f>
        <v>8.140274938683989</v>
      </c>
      <c r="BA55">
        <f>IF(IF(AND(BA51&gt;=0,BA51&lt;INPUT!$C$76),1,0)=1,(1+INPUT!$C$79/100)^INT(BA51/INPUT!$C$80),0)</f>
        <v>0</v>
      </c>
      <c r="BB55">
        <f>IF(IF(AND(BB51&gt;=0,BB51&lt;INPUT!$C$76),1,0)=1,(1+INPUT!$C$79/100)^INT(BB51/INPUT!$C$80),0)</f>
        <v>0</v>
      </c>
      <c r="BC55">
        <f>IF(IF(AND(BC51&gt;=0,BC51&lt;INPUT!$C$76),1,0)=1,(1+INPUT!$C$79/100)^INT(BC51/INPUT!$C$80),0)</f>
        <v>0</v>
      </c>
      <c r="BD55">
        <f>IF(IF(AND(BD51&gt;=0,BD51&lt;INPUT!$C$76),1,0)=1,(1+INPUT!$C$79/100)^INT(BD51/INPUT!$C$80),0)</f>
        <v>0</v>
      </c>
      <c r="BE55">
        <f>IF(IF(AND(BE51&gt;=0,BE51&lt;INPUT!$C$76),1,0)=1,(1+INPUT!$C$79/100)^INT(BE51/INPUT!$C$80),0)</f>
        <v>0</v>
      </c>
      <c r="BF55">
        <f>IF(IF(AND(BF51&gt;=0,BF51&lt;INPUT!$C$76),1,0)=1,(1+INPUT!$C$79/100)^INT(BF51/INPUT!$C$80),0)</f>
        <v>0</v>
      </c>
      <c r="BG55">
        <f>IF(IF(AND(BG51&gt;=0,BG51&lt;INPUT!$C$76),1,0)=1,(1+INPUT!$C$79/100)^INT(BG51/INPUT!$C$80),0)</f>
        <v>0</v>
      </c>
      <c r="BH55">
        <f>IF(IF(AND(BH51&gt;=0,BH51&lt;INPUT!$C$76),1,0)=1,(1+INPUT!$C$79/100)^INT(BH51/INPUT!$C$80),0)</f>
        <v>0</v>
      </c>
      <c r="BI55">
        <f>IF(IF(AND(BI51&gt;=0,BI51&lt;INPUT!$C$76),1,0)=1,(1+INPUT!$C$79/100)^INT(BI51/INPUT!$C$80),0)</f>
        <v>0</v>
      </c>
      <c r="BJ55">
        <f>IF(IF(AND(BJ51&gt;=0,BJ51&lt;INPUT!$C$76),1,0)=1,(1+INPUT!$C$79/100)^INT(BJ51/INPUT!$C$80),0)</f>
        <v>0</v>
      </c>
      <c r="BK55">
        <f>IF(IF(AND(BK51&gt;=0,BK51&lt;INPUT!$C$76),1,0)=1,(1+INPUT!$C$79/100)^INT(BK51/INPUT!$C$80),0)</f>
        <v>0</v>
      </c>
    </row>
    <row r="56" spans="2:63" x14ac:dyDescent="0.25">
      <c r="B56" s="1" t="s">
        <v>349</v>
      </c>
      <c r="D56" s="6">
        <f>D55*INPUT!$C$81*INPUT!$C$82*1000*12*D52</f>
        <v>0</v>
      </c>
      <c r="E56" s="6">
        <f>E55*INPUT!$C$81*INPUT!$C$82*1000*12*E52</f>
        <v>0</v>
      </c>
      <c r="F56" s="6">
        <f>F55*INPUT!$C$81*INPUT!$C$82*1000*12*F52</f>
        <v>0</v>
      </c>
      <c r="G56" s="6">
        <f>G55*INPUT!$C$81*INPUT!$C$82*1000*12*G52</f>
        <v>0</v>
      </c>
      <c r="H56" s="6">
        <f>H55*INPUT!$C$81*INPUT!$C$82*1000*12*H52</f>
        <v>0</v>
      </c>
      <c r="I56" s="6">
        <f>I55*INPUT!$C$81*INPUT!$C$82*1000*12*I52</f>
        <v>0</v>
      </c>
      <c r="J56" s="6">
        <f>J55*INPUT!$C$81*INPUT!$C$82*1000*12*J52</f>
        <v>0</v>
      </c>
      <c r="K56" s="6">
        <f>K55*INPUT!$C$81*INPUT!$C$82*1000*12*K52</f>
        <v>0</v>
      </c>
      <c r="L56" s="6">
        <f>L55*INPUT!$C$81*INPUT!$C$82*1000*12*L52</f>
        <v>0</v>
      </c>
      <c r="M56" s="6">
        <f>M55*INPUT!$C$81*INPUT!$C$82*1000*12*M52</f>
        <v>0</v>
      </c>
      <c r="N56" s="6">
        <f>N55*INPUT!$C$81*INPUT!$C$82*1000*12*N52</f>
        <v>0</v>
      </c>
      <c r="O56" s="6">
        <f>O55*INPUT!$C$81*INPUT!$C$82*1000*12*O52</f>
        <v>0</v>
      </c>
      <c r="P56" s="6">
        <f>P55*INPUT!$C$81*INPUT!$C$82*1000*12*P52</f>
        <v>0</v>
      </c>
      <c r="Q56" s="6">
        <f>Q55*INPUT!$C$81*INPUT!$C$82*1000*12*Q52</f>
        <v>0</v>
      </c>
      <c r="R56" s="6">
        <f>R55*INPUT!$C$81*INPUT!$C$82*1000*12*R52</f>
        <v>0</v>
      </c>
      <c r="S56" s="6">
        <f>S55*INPUT!$C$81*INPUT!$C$82*1000*12*S52</f>
        <v>0</v>
      </c>
      <c r="T56" s="6">
        <f>T55*INPUT!$C$81*INPUT!$C$82*1000*12*T52</f>
        <v>0</v>
      </c>
      <c r="U56" s="6">
        <f>U55*INPUT!$C$81*INPUT!$C$82*1000*12*U52</f>
        <v>0</v>
      </c>
      <c r="V56" s="6">
        <f>V55*INPUT!$C$81*INPUT!$C$82*1000*12*V52</f>
        <v>0</v>
      </c>
      <c r="W56" s="6">
        <f>W55*INPUT!$C$81*INPUT!$C$82*1000*12*W52</f>
        <v>0</v>
      </c>
      <c r="X56" s="6">
        <f>X55*INPUT!$C$81*INPUT!$C$82*1000*12*X52</f>
        <v>0</v>
      </c>
      <c r="Y56" s="6">
        <f>Y55*INPUT!$C$81*INPUT!$C$82*1000*12*Y52</f>
        <v>0</v>
      </c>
      <c r="Z56" s="6">
        <f>Z55*INPUT!$C$81*INPUT!$C$82*1000*12*Z52</f>
        <v>0</v>
      </c>
      <c r="AA56" s="6">
        <f>AA55*INPUT!$C$81*INPUT!$C$82*1000*12*AA52</f>
        <v>0</v>
      </c>
      <c r="AB56" s="6">
        <f>AB55*INPUT!$C$81*INPUT!$C$82*1000*12*AB52</f>
        <v>0</v>
      </c>
      <c r="AC56" s="6">
        <f>AC55*INPUT!$C$81*INPUT!$C$82*1000*12*AC52</f>
        <v>0</v>
      </c>
      <c r="AD56" s="6">
        <f>AD55*INPUT!$C$81*INPUT!$C$82*1000*12*AD52</f>
        <v>0</v>
      </c>
      <c r="AE56" s="6">
        <f>AE55*INPUT!$C$81*INPUT!$C$82*1000*12*AE52</f>
        <v>0</v>
      </c>
      <c r="AF56" s="6">
        <f>AF55*INPUT!$C$81*INPUT!$C$82*1000*12*AF52</f>
        <v>0</v>
      </c>
      <c r="AG56" s="6">
        <f>AG55*INPUT!$C$81*INPUT!$C$82*1000*12*AG52</f>
        <v>0</v>
      </c>
      <c r="AH56" s="6">
        <f>AH55*INPUT!$C$81*INPUT!$C$82*1000*12*AH52</f>
        <v>0</v>
      </c>
      <c r="AI56" s="6">
        <f>AI55*INPUT!$C$81*INPUT!$C$82*1000*12*AI52</f>
        <v>0</v>
      </c>
      <c r="AJ56" s="6">
        <f>AJ55*INPUT!$C$81*INPUT!$C$82*1000*12*AJ52</f>
        <v>0</v>
      </c>
      <c r="AK56" s="6">
        <f>AK55*INPUT!$C$81*INPUT!$C$82*1000*12*AK52</f>
        <v>0</v>
      </c>
      <c r="AL56" s="6">
        <f>AL55*INPUT!$C$81*INPUT!$C$82*1000*12*AL52</f>
        <v>0</v>
      </c>
      <c r="AM56" s="6">
        <f>AM55*INPUT!$C$81*INPUT!$C$82*1000*12*AM52</f>
        <v>0</v>
      </c>
      <c r="AN56" s="6">
        <f>AN55*INPUT!$C$81*INPUT!$C$82*1000*12*AN52</f>
        <v>0</v>
      </c>
      <c r="AO56" s="6">
        <f>AO55*INPUT!$C$81*INPUT!$C$82*1000*12*AO52</f>
        <v>0</v>
      </c>
      <c r="AP56" s="6">
        <f>AP55*INPUT!$C$81*INPUT!$C$82*1000*12*AP52</f>
        <v>0</v>
      </c>
      <c r="AQ56" s="6">
        <f>AQ55*INPUT!$C$81*INPUT!$C$82*1000*12*AQ52</f>
        <v>0</v>
      </c>
      <c r="AR56" s="6">
        <f>AR55*INPUT!$C$81*INPUT!$C$82*1000*12*AR52</f>
        <v>0</v>
      </c>
      <c r="AS56" s="6">
        <f>AS55*INPUT!$C$81*INPUT!$C$82*1000*12*AS52</f>
        <v>0</v>
      </c>
      <c r="AT56" s="6">
        <f>AT55*INPUT!$C$81*INPUT!$C$82*1000*12*AT52</f>
        <v>0</v>
      </c>
      <c r="AU56" s="6">
        <f>AU55*INPUT!$C$81*INPUT!$C$82*1000*12*AU52</f>
        <v>0</v>
      </c>
      <c r="AV56" s="6">
        <f>AV55*INPUT!$C$81*INPUT!$C$82*1000*12*AV52</f>
        <v>0</v>
      </c>
      <c r="AW56" s="6">
        <f>AW55*INPUT!$C$81*INPUT!$C$82*1000*12*AW52</f>
        <v>0</v>
      </c>
      <c r="AX56" s="6">
        <f>AX55*INPUT!$C$81*INPUT!$C$82*1000*12*AX52</f>
        <v>0</v>
      </c>
      <c r="AY56" s="6">
        <f>AY55*INPUT!$C$81*INPUT!$C$82*1000*12*AY52</f>
        <v>0</v>
      </c>
      <c r="AZ56" s="6">
        <f>AZ55*INPUT!$C$81*INPUT!$C$82*1000*12*AZ52</f>
        <v>0</v>
      </c>
      <c r="BA56" s="6">
        <f>BA55*INPUT!$C$81*INPUT!$C$82*1000*12*BA52</f>
        <v>0</v>
      </c>
      <c r="BB56" s="6">
        <f>BB55*INPUT!$C$81*INPUT!$C$82*1000*12*BB52</f>
        <v>0</v>
      </c>
      <c r="BC56" s="6">
        <f>BC55*INPUT!$C$81*INPUT!$C$82*1000*12*BC52</f>
        <v>0</v>
      </c>
      <c r="BD56" s="6">
        <f>BD55*INPUT!$C$81*INPUT!$C$82*1000*12*BD52</f>
        <v>0</v>
      </c>
      <c r="BE56" s="6">
        <f>BE55*INPUT!$C$81*INPUT!$C$82*1000*12*BE52</f>
        <v>0</v>
      </c>
      <c r="BF56" s="6">
        <f>BF55*INPUT!$C$81*INPUT!$C$82*1000*12*BF52</f>
        <v>0</v>
      </c>
      <c r="BG56" s="6">
        <f>BG55*INPUT!$C$81*INPUT!$C$82*1000*12*BG52</f>
        <v>0</v>
      </c>
      <c r="BH56" s="6">
        <f>BH55*INPUT!$C$81*INPUT!$C$82*1000*12*BH52</f>
        <v>0</v>
      </c>
      <c r="BI56" s="6">
        <f>BI55*INPUT!$C$81*INPUT!$C$82*1000*12*BI52</f>
        <v>0</v>
      </c>
      <c r="BJ56" s="6">
        <f>BJ55*INPUT!$C$81*INPUT!$C$82*1000*12*BJ52</f>
        <v>0</v>
      </c>
      <c r="BK56" s="6">
        <f>BK55*INPUT!$C$81*INPUT!$C$82*1000*12*BK52</f>
        <v>0</v>
      </c>
    </row>
    <row r="57" spans="2:63" x14ac:dyDescent="0.25">
      <c r="B57" s="1" t="s">
        <v>350</v>
      </c>
      <c r="D57" s="6">
        <f>D55*INPUT!$C$83*INPUT!$C$84*1000000*12*D53</f>
        <v>0</v>
      </c>
      <c r="E57" s="6">
        <f>E55*INPUT!$C$83*INPUT!$C$84*1000000*12*E53</f>
        <v>0</v>
      </c>
      <c r="F57" s="6">
        <f>F55*INPUT!$C$83*INPUT!$C$84*1000000*12*F53</f>
        <v>0</v>
      </c>
      <c r="G57" s="6">
        <f>G55*INPUT!$C$83*INPUT!$C$84*1000000*12*G53</f>
        <v>0</v>
      </c>
      <c r="H57" s="6">
        <f>H55*INPUT!$C$83*INPUT!$C$84*1000000*12*H53</f>
        <v>0</v>
      </c>
      <c r="I57" s="6">
        <f>I55*INPUT!$C$83*INPUT!$C$84*1000000*12*I53</f>
        <v>0</v>
      </c>
      <c r="J57" s="6">
        <f>J55*INPUT!$C$83*INPUT!$C$84*1000000*12*J53</f>
        <v>0</v>
      </c>
      <c r="K57" s="6">
        <f>K55*INPUT!$C$83*INPUT!$C$84*1000000*12*K53</f>
        <v>0</v>
      </c>
      <c r="L57" s="6">
        <f>L55*INPUT!$C$83*INPUT!$C$84*1000000*12*L53</f>
        <v>0</v>
      </c>
      <c r="M57" s="6">
        <f>M55*INPUT!$C$83*INPUT!$C$84*1000000*12*M53</f>
        <v>0</v>
      </c>
      <c r="N57" s="6">
        <f>N55*INPUT!$C$83*INPUT!$C$84*1000000*12*N53</f>
        <v>0</v>
      </c>
      <c r="O57" s="6">
        <f>O55*INPUT!$C$83*INPUT!$C$84*1000000*12*O53</f>
        <v>0</v>
      </c>
      <c r="P57" s="6">
        <f>P55*INPUT!$C$83*INPUT!$C$84*1000000*12*P53</f>
        <v>0</v>
      </c>
      <c r="Q57" s="6">
        <f>Q55*INPUT!$C$83*INPUT!$C$84*1000000*12*Q53</f>
        <v>0</v>
      </c>
      <c r="R57" s="6">
        <f>R55*INPUT!$C$83*INPUT!$C$84*1000000*12*R53</f>
        <v>0</v>
      </c>
      <c r="S57" s="6">
        <f>S55*INPUT!$C$83*INPUT!$C$84*1000000*12*S53</f>
        <v>0</v>
      </c>
      <c r="T57" s="6">
        <f>T55*INPUT!$C$83*INPUT!$C$84*1000000*12*T53</f>
        <v>0</v>
      </c>
      <c r="U57" s="6">
        <f>U55*INPUT!$C$83*INPUT!$C$84*1000000*12*U53</f>
        <v>0</v>
      </c>
      <c r="V57" s="6">
        <f>V55*INPUT!$C$83*INPUT!$C$84*1000000*12*V53</f>
        <v>0</v>
      </c>
      <c r="W57" s="6">
        <f>W55*INPUT!$C$83*INPUT!$C$84*1000000*12*W53</f>
        <v>0</v>
      </c>
      <c r="X57" s="6">
        <f>X55*INPUT!$C$83*INPUT!$C$84*1000000*12*X53</f>
        <v>0</v>
      </c>
      <c r="Y57" s="6">
        <f>Y55*INPUT!$C$83*INPUT!$C$84*1000000*12*Y53</f>
        <v>0</v>
      </c>
      <c r="Z57" s="6">
        <f>Z55*INPUT!$C$83*INPUT!$C$84*1000000*12*Z53</f>
        <v>0</v>
      </c>
      <c r="AA57" s="6">
        <f>AA55*INPUT!$C$83*INPUT!$C$84*1000000*12*AA53</f>
        <v>0</v>
      </c>
      <c r="AB57" s="6">
        <f>AB55*INPUT!$C$83*INPUT!$C$84*1000000*12*AB53</f>
        <v>0</v>
      </c>
      <c r="AC57" s="6">
        <f>AC55*INPUT!$C$83*INPUT!$C$84*1000000*12*AC53</f>
        <v>0</v>
      </c>
      <c r="AD57" s="6">
        <f>AD55*INPUT!$C$83*INPUT!$C$84*1000000*12*AD53</f>
        <v>0</v>
      </c>
      <c r="AE57" s="6">
        <f>AE55*INPUT!$C$83*INPUT!$C$84*1000000*12*AE53</f>
        <v>0</v>
      </c>
      <c r="AF57" s="6">
        <f>AF55*INPUT!$C$83*INPUT!$C$84*1000000*12*AF53</f>
        <v>0</v>
      </c>
      <c r="AG57" s="6">
        <f>AG55*INPUT!$C$83*INPUT!$C$84*1000000*12*AG53</f>
        <v>0</v>
      </c>
      <c r="AH57" s="6">
        <f>AH55*INPUT!$C$83*INPUT!$C$84*1000000*12*AH53</f>
        <v>0</v>
      </c>
      <c r="AI57" s="6">
        <f>AI55*INPUT!$C$83*INPUT!$C$84*1000000*12*AI53</f>
        <v>0</v>
      </c>
      <c r="AJ57" s="6">
        <f>AJ55*INPUT!$C$83*INPUT!$C$84*1000000*12*AJ53</f>
        <v>0</v>
      </c>
      <c r="AK57" s="6">
        <f>AK55*INPUT!$C$83*INPUT!$C$84*1000000*12*AK53</f>
        <v>0</v>
      </c>
      <c r="AL57" s="6">
        <f>AL55*INPUT!$C$83*INPUT!$C$84*1000000*12*AL53</f>
        <v>0</v>
      </c>
      <c r="AM57" s="6">
        <f>AM55*INPUT!$C$83*INPUT!$C$84*1000000*12*AM53</f>
        <v>0</v>
      </c>
      <c r="AN57" s="6">
        <f>AN55*INPUT!$C$83*INPUT!$C$84*1000000*12*AN53</f>
        <v>0</v>
      </c>
      <c r="AO57" s="6">
        <f>AO55*INPUT!$C$83*INPUT!$C$84*1000000*12*AO53</f>
        <v>0</v>
      </c>
      <c r="AP57" s="6">
        <f>AP55*INPUT!$C$83*INPUT!$C$84*1000000*12*AP53</f>
        <v>0</v>
      </c>
      <c r="AQ57" s="6">
        <f>AQ55*INPUT!$C$83*INPUT!$C$84*1000000*12*AQ53</f>
        <v>0</v>
      </c>
      <c r="AR57" s="6">
        <f>AR55*INPUT!$C$83*INPUT!$C$84*1000000*12*AR53</f>
        <v>0</v>
      </c>
      <c r="AS57" s="6">
        <f>AS55*INPUT!$C$83*INPUT!$C$84*1000000*12*AS53</f>
        <v>0</v>
      </c>
      <c r="AT57" s="6">
        <f>AT55*INPUT!$C$83*INPUT!$C$84*1000000*12*AT53</f>
        <v>0</v>
      </c>
      <c r="AU57" s="6">
        <f>AU55*INPUT!$C$83*INPUT!$C$84*1000000*12*AU53</f>
        <v>0</v>
      </c>
      <c r="AV57" s="6">
        <f>AV55*INPUT!$C$83*INPUT!$C$84*1000000*12*AV53</f>
        <v>0</v>
      </c>
      <c r="AW57" s="6">
        <f>AW55*INPUT!$C$83*INPUT!$C$84*1000000*12*AW53</f>
        <v>0</v>
      </c>
      <c r="AX57" s="6">
        <f>AX55*INPUT!$C$83*INPUT!$C$84*1000000*12*AX53</f>
        <v>0</v>
      </c>
      <c r="AY57" s="6">
        <f>AY55*INPUT!$C$83*INPUT!$C$84*1000000*12*AY53</f>
        <v>0</v>
      </c>
      <c r="AZ57" s="6">
        <f>AZ55*INPUT!$C$83*INPUT!$C$84*1000000*12*AZ53</f>
        <v>0</v>
      </c>
      <c r="BA57" s="6">
        <f>BA55*INPUT!$C$83*INPUT!$C$84*1000000*12*BA53</f>
        <v>0</v>
      </c>
      <c r="BB57" s="6">
        <f>BB55*INPUT!$C$83*INPUT!$C$84*1000000*12*BB53</f>
        <v>0</v>
      </c>
      <c r="BC57" s="6">
        <f>BC55*INPUT!$C$83*INPUT!$C$84*1000000*12*BC53</f>
        <v>0</v>
      </c>
      <c r="BD57" s="6">
        <f>BD55*INPUT!$C$83*INPUT!$C$84*1000000*12*BD53</f>
        <v>0</v>
      </c>
      <c r="BE57" s="6">
        <f>BE55*INPUT!$C$83*INPUT!$C$84*1000000*12*BE53</f>
        <v>0</v>
      </c>
      <c r="BF57" s="6">
        <f>BF55*INPUT!$C$83*INPUT!$C$84*1000000*12*BF53</f>
        <v>0</v>
      </c>
      <c r="BG57" s="6">
        <f>BG55*INPUT!$C$83*INPUT!$C$84*1000000*12*BG53</f>
        <v>0</v>
      </c>
      <c r="BH57" s="6">
        <f>BH55*INPUT!$C$83*INPUT!$C$84*1000000*12*BH53</f>
        <v>0</v>
      </c>
      <c r="BI57" s="6">
        <f>BI55*INPUT!$C$83*INPUT!$C$84*1000000*12*BI53</f>
        <v>0</v>
      </c>
      <c r="BJ57" s="6">
        <f>BJ55*INPUT!$C$83*INPUT!$C$84*1000000*12*BJ53</f>
        <v>0</v>
      </c>
      <c r="BK57" s="6">
        <f>BK55*INPUT!$C$83*INPUT!$C$84*1000000*12*BK53</f>
        <v>0</v>
      </c>
    </row>
    <row r="58" spans="2:63" x14ac:dyDescent="0.25">
      <c r="B58" s="1" t="s">
        <v>351</v>
      </c>
      <c r="D58" s="6">
        <f>D55*INPUT!$C$85*INPUT!$C$86*1000000*365*D54</f>
        <v>0</v>
      </c>
      <c r="E58" s="6">
        <f>E55*INPUT!$C$85*INPUT!$C$86*1000000*365*E54</f>
        <v>0</v>
      </c>
      <c r="F58" s="6">
        <f>F55*INPUT!$C$85*INPUT!$C$86*1000000*365*F54</f>
        <v>0</v>
      </c>
      <c r="G58" s="6">
        <f>G55*INPUT!$C$85*INPUT!$C$86*1000000*365*G54</f>
        <v>0</v>
      </c>
      <c r="H58" s="6">
        <f>H55*INPUT!$C$85*INPUT!$C$86*1000000*365*H54</f>
        <v>0</v>
      </c>
      <c r="I58" s="6">
        <f>I55*INPUT!$C$85*INPUT!$C$86*1000000*365*I54</f>
        <v>0</v>
      </c>
      <c r="J58" s="6">
        <f>J55*INPUT!$C$85*INPUT!$C$86*1000000*365*J54</f>
        <v>0</v>
      </c>
      <c r="K58" s="6">
        <f>K55*INPUT!$C$85*INPUT!$C$86*1000000*365*K54</f>
        <v>0</v>
      </c>
      <c r="L58" s="6">
        <f>L55*INPUT!$C$85*INPUT!$C$86*1000000*365*L54</f>
        <v>0</v>
      </c>
      <c r="M58" s="6">
        <f>M55*INPUT!$C$85*INPUT!$C$86*1000000*365*M54</f>
        <v>0</v>
      </c>
      <c r="N58" s="6">
        <f>N55*INPUT!$C$85*INPUT!$C$86*1000000*365*N54</f>
        <v>0</v>
      </c>
      <c r="O58" s="6">
        <f>O55*INPUT!$C$85*INPUT!$C$86*1000000*365*O54</f>
        <v>0</v>
      </c>
      <c r="P58" s="6">
        <f>P55*INPUT!$C$85*INPUT!$C$86*1000000*365*P54</f>
        <v>0</v>
      </c>
      <c r="Q58" s="6">
        <f>Q55*INPUT!$C$85*INPUT!$C$86*1000000*365*Q54</f>
        <v>0</v>
      </c>
      <c r="R58" s="6">
        <f>R55*INPUT!$C$85*INPUT!$C$86*1000000*365*R54</f>
        <v>0</v>
      </c>
      <c r="S58" s="6">
        <f>S55*INPUT!$C$85*INPUT!$C$86*1000000*365*S54</f>
        <v>0</v>
      </c>
      <c r="T58" s="6">
        <f>T55*INPUT!$C$85*INPUT!$C$86*1000000*365*T54</f>
        <v>0</v>
      </c>
      <c r="U58" s="6">
        <f>U55*INPUT!$C$85*INPUT!$C$86*1000000*365*U54</f>
        <v>0</v>
      </c>
      <c r="V58" s="6">
        <f>V55*INPUT!$C$85*INPUT!$C$86*1000000*365*V54</f>
        <v>0</v>
      </c>
      <c r="W58" s="6">
        <f>W55*INPUT!$C$85*INPUT!$C$86*1000000*365*W54</f>
        <v>0</v>
      </c>
      <c r="X58" s="6">
        <f>X55*INPUT!$C$85*INPUT!$C$86*1000000*365*X54</f>
        <v>0</v>
      </c>
      <c r="Y58" s="6">
        <f>Y55*INPUT!$C$85*INPUT!$C$86*1000000*365*Y54</f>
        <v>0</v>
      </c>
      <c r="Z58" s="6">
        <f>Z55*INPUT!$C$85*INPUT!$C$86*1000000*365*Z54</f>
        <v>0</v>
      </c>
      <c r="AA58" s="6">
        <f>AA55*INPUT!$C$85*INPUT!$C$86*1000000*365*AA54</f>
        <v>0</v>
      </c>
      <c r="AB58" s="6">
        <f>AB55*INPUT!$C$85*INPUT!$C$86*1000000*365*AB54</f>
        <v>0</v>
      </c>
      <c r="AC58" s="6">
        <f>AC55*INPUT!$C$85*INPUT!$C$86*1000000*365*AC54</f>
        <v>0</v>
      </c>
      <c r="AD58" s="6">
        <f>AD55*INPUT!$C$85*INPUT!$C$86*1000000*365*AD54</f>
        <v>0</v>
      </c>
      <c r="AE58" s="6">
        <f>AE55*INPUT!$C$85*INPUT!$C$86*1000000*365*AE54</f>
        <v>0</v>
      </c>
      <c r="AF58" s="6">
        <f>AF55*INPUT!$C$85*INPUT!$C$86*1000000*365*AF54</f>
        <v>0</v>
      </c>
      <c r="AG58" s="6">
        <f>AG55*INPUT!$C$85*INPUT!$C$86*1000000*365*AG54</f>
        <v>0</v>
      </c>
      <c r="AH58" s="6">
        <f>AH55*INPUT!$C$85*INPUT!$C$86*1000000*365*AH54</f>
        <v>0</v>
      </c>
      <c r="AI58" s="6">
        <f>AI55*INPUT!$C$85*INPUT!$C$86*1000000*365*AI54</f>
        <v>0</v>
      </c>
      <c r="AJ58" s="6">
        <f>AJ55*INPUT!$C$85*INPUT!$C$86*1000000*365*AJ54</f>
        <v>0</v>
      </c>
      <c r="AK58" s="6">
        <f>AK55*INPUT!$C$85*INPUT!$C$86*1000000*365*AK54</f>
        <v>0</v>
      </c>
      <c r="AL58" s="6">
        <f>AL55*INPUT!$C$85*INPUT!$C$86*1000000*365*AL54</f>
        <v>0</v>
      </c>
      <c r="AM58" s="6">
        <f>AM55*INPUT!$C$85*INPUT!$C$86*1000000*365*AM54</f>
        <v>0</v>
      </c>
      <c r="AN58" s="6">
        <f>AN55*INPUT!$C$85*INPUT!$C$86*1000000*365*AN54</f>
        <v>0</v>
      </c>
      <c r="AO58" s="6">
        <f>AO55*INPUT!$C$85*INPUT!$C$86*1000000*365*AO54</f>
        <v>0</v>
      </c>
      <c r="AP58" s="6">
        <f>AP55*INPUT!$C$85*INPUT!$C$86*1000000*365*AP54</f>
        <v>0</v>
      </c>
      <c r="AQ58" s="6">
        <f>AQ55*INPUT!$C$85*INPUT!$C$86*1000000*365*AQ54</f>
        <v>0</v>
      </c>
      <c r="AR58" s="6">
        <f>AR55*INPUT!$C$85*INPUT!$C$86*1000000*365*AR54</f>
        <v>0</v>
      </c>
      <c r="AS58" s="6">
        <f>AS55*INPUT!$C$85*INPUT!$C$86*1000000*365*AS54</f>
        <v>0</v>
      </c>
      <c r="AT58" s="6">
        <f>AT55*INPUT!$C$85*INPUT!$C$86*1000000*365*AT54</f>
        <v>0</v>
      </c>
      <c r="AU58" s="6">
        <f>AU55*INPUT!$C$85*INPUT!$C$86*1000000*365*AU54</f>
        <v>0</v>
      </c>
      <c r="AV58" s="6">
        <f>AV55*INPUT!$C$85*INPUT!$C$86*1000000*365*AV54</f>
        <v>0</v>
      </c>
      <c r="AW58" s="6">
        <f>AW55*INPUT!$C$85*INPUT!$C$86*1000000*365*AW54</f>
        <v>0</v>
      </c>
      <c r="AX58" s="6">
        <f>AX55*INPUT!$C$85*INPUT!$C$86*1000000*365*AX54</f>
        <v>0</v>
      </c>
      <c r="AY58" s="6">
        <f>AY55*INPUT!$C$85*INPUT!$C$86*1000000*365*AY54</f>
        <v>0</v>
      </c>
      <c r="AZ58" s="6">
        <f>AZ55*INPUT!$C$85*INPUT!$C$86*1000000*365*AZ54</f>
        <v>0</v>
      </c>
      <c r="BA58" s="6">
        <f>BA55*INPUT!$C$85*INPUT!$C$86*1000000*365*BA54</f>
        <v>0</v>
      </c>
      <c r="BB58" s="6">
        <f>BB55*INPUT!$C$85*INPUT!$C$86*1000000*365*BB54</f>
        <v>0</v>
      </c>
      <c r="BC58" s="6">
        <f>BC55*INPUT!$C$85*INPUT!$C$86*1000000*365*BC54</f>
        <v>0</v>
      </c>
      <c r="BD58" s="6">
        <f>BD55*INPUT!$C$85*INPUT!$C$86*1000000*365*BD54</f>
        <v>0</v>
      </c>
      <c r="BE58" s="6">
        <f>BE55*INPUT!$C$85*INPUT!$C$86*1000000*365*BE54</f>
        <v>0</v>
      </c>
      <c r="BF58" s="6">
        <f>BF55*INPUT!$C$85*INPUT!$C$86*1000000*365*BF54</f>
        <v>0</v>
      </c>
      <c r="BG58" s="6">
        <f>BG55*INPUT!$C$85*INPUT!$C$86*1000000*365*BG54</f>
        <v>0</v>
      </c>
      <c r="BH58" s="6">
        <f>BH55*INPUT!$C$85*INPUT!$C$86*1000000*365*BH54</f>
        <v>0</v>
      </c>
      <c r="BI58" s="6">
        <f>BI55*INPUT!$C$85*INPUT!$C$86*1000000*365*BI54</f>
        <v>0</v>
      </c>
      <c r="BJ58" s="6">
        <f>BJ55*INPUT!$C$85*INPUT!$C$86*1000000*365*BJ54</f>
        <v>0</v>
      </c>
      <c r="BK58" s="6">
        <f>BK55*INPUT!$C$85*INPUT!$C$86*1000000*365*BK54</f>
        <v>0</v>
      </c>
    </row>
    <row r="59" spans="2:63" x14ac:dyDescent="0.25">
      <c r="B59" s="1" t="s">
        <v>352</v>
      </c>
      <c r="D59" s="6">
        <f>(D56+D57)*INPUT!$C$87/100+D58*INPUT!$C$88/100</f>
        <v>0</v>
      </c>
      <c r="E59" s="6">
        <f>(E56+E57)*INPUT!$C$87/100+E58*INPUT!$C$88/100</f>
        <v>0</v>
      </c>
      <c r="F59" s="6">
        <f>(F56+F57)*INPUT!$C$87/100+F58*INPUT!$C$88/100</f>
        <v>0</v>
      </c>
      <c r="G59" s="6">
        <f>(G56+G57)*INPUT!$C$87/100+G58*INPUT!$C$88/100</f>
        <v>0</v>
      </c>
      <c r="H59" s="6">
        <f>(H56+H57)*INPUT!$C$87/100+H58*INPUT!$C$88/100</f>
        <v>0</v>
      </c>
      <c r="I59" s="6">
        <f>(I56+I57)*INPUT!$C$87/100+I58*INPUT!$C$88/100</f>
        <v>0</v>
      </c>
      <c r="J59" s="6">
        <f>(J56+J57)*INPUT!$C$87/100+J58*INPUT!$C$88/100</f>
        <v>0</v>
      </c>
      <c r="K59" s="6">
        <f>(K56+K57)*INPUT!$C$87/100+K58*INPUT!$C$88/100</f>
        <v>0</v>
      </c>
      <c r="L59" s="6">
        <f>(L56+L57)*INPUT!$C$87/100+L58*INPUT!$C$88/100</f>
        <v>0</v>
      </c>
      <c r="M59" s="6">
        <f>(M56+M57)*INPUT!$C$87/100+M58*INPUT!$C$88/100</f>
        <v>0</v>
      </c>
      <c r="N59" s="6">
        <f>(N56+N57)*INPUT!$C$87/100+N58*INPUT!$C$88/100</f>
        <v>0</v>
      </c>
      <c r="O59" s="6">
        <f>(O56+O57)*INPUT!$C$87/100+O58*INPUT!$C$88/100</f>
        <v>0</v>
      </c>
      <c r="P59" s="6">
        <f>(P56+P57)*INPUT!$C$87/100+P58*INPUT!$C$88/100</f>
        <v>0</v>
      </c>
      <c r="Q59" s="6">
        <f>(Q56+Q57)*INPUT!$C$87/100+Q58*INPUT!$C$88/100</f>
        <v>0</v>
      </c>
      <c r="R59" s="6">
        <f>(R56+R57)*INPUT!$C$87/100+R58*INPUT!$C$88/100</f>
        <v>0</v>
      </c>
      <c r="S59" s="6">
        <f>(S56+S57)*INPUT!$C$87/100+S58*INPUT!$C$88/100</f>
        <v>0</v>
      </c>
      <c r="T59" s="6">
        <f>(T56+T57)*INPUT!$C$87/100+T58*INPUT!$C$88/100</f>
        <v>0</v>
      </c>
      <c r="U59" s="6">
        <f>(U56+U57)*INPUT!$C$87/100+U58*INPUT!$C$88/100</f>
        <v>0</v>
      </c>
      <c r="V59" s="6">
        <f>(V56+V57)*INPUT!$C$87/100+V58*INPUT!$C$88/100</f>
        <v>0</v>
      </c>
      <c r="W59" s="6">
        <f>(W56+W57)*INPUT!$C$87/100+W58*INPUT!$C$88/100</f>
        <v>0</v>
      </c>
      <c r="X59" s="6">
        <f>(X56+X57)*INPUT!$C$87/100+X58*INPUT!$C$88/100</f>
        <v>0</v>
      </c>
      <c r="Y59" s="6">
        <f>(Y56+Y57)*INPUT!$C$87/100+Y58*INPUT!$C$88/100</f>
        <v>0</v>
      </c>
      <c r="Z59" s="6">
        <f>(Z56+Z57)*INPUT!$C$87/100+Z58*INPUT!$C$88/100</f>
        <v>0</v>
      </c>
      <c r="AA59" s="6">
        <f>(AA56+AA57)*INPUT!$C$87/100+AA58*INPUT!$C$88/100</f>
        <v>0</v>
      </c>
      <c r="AB59" s="6">
        <f>(AB56+AB57)*INPUT!$C$87/100+AB58*INPUT!$C$88/100</f>
        <v>0</v>
      </c>
      <c r="AC59" s="6">
        <f>(AC56+AC57)*INPUT!$C$87/100+AC58*INPUT!$C$88/100</f>
        <v>0</v>
      </c>
      <c r="AD59" s="6">
        <f>(AD56+AD57)*INPUT!$C$87/100+AD58*INPUT!$C$88/100</f>
        <v>0</v>
      </c>
      <c r="AE59" s="6">
        <f>(AE56+AE57)*INPUT!$C$87/100+AE58*INPUT!$C$88/100</f>
        <v>0</v>
      </c>
      <c r="AF59" s="6">
        <f>(AF56+AF57)*INPUT!$C$87/100+AF58*INPUT!$C$88/100</f>
        <v>0</v>
      </c>
      <c r="AG59" s="6">
        <f>(AG56+AG57)*INPUT!$C$87/100+AG58*INPUT!$C$88/100</f>
        <v>0</v>
      </c>
      <c r="AH59" s="6">
        <f>(AH56+AH57)*INPUT!$C$87/100+AH58*INPUT!$C$88/100</f>
        <v>0</v>
      </c>
      <c r="AI59" s="6">
        <f>(AI56+AI57)*INPUT!$C$87/100+AI58*INPUT!$C$88/100</f>
        <v>0</v>
      </c>
      <c r="AJ59" s="6">
        <f>(AJ56+AJ57)*INPUT!$C$87/100+AJ58*INPUT!$C$88/100</f>
        <v>0</v>
      </c>
      <c r="AK59" s="6">
        <f>(AK56+AK57)*INPUT!$C$87/100+AK58*INPUT!$C$88/100</f>
        <v>0</v>
      </c>
      <c r="AL59" s="6">
        <f>(AL56+AL57)*INPUT!$C$87/100+AL58*INPUT!$C$88/100</f>
        <v>0</v>
      </c>
      <c r="AM59" s="6">
        <f>(AM56+AM57)*INPUT!$C$87/100+AM58*INPUT!$C$88/100</f>
        <v>0</v>
      </c>
      <c r="AN59" s="6">
        <f>(AN56+AN57)*INPUT!$C$87/100+AN58*INPUT!$C$88/100</f>
        <v>0</v>
      </c>
      <c r="AO59" s="6">
        <f>(AO56+AO57)*INPUT!$C$87/100+AO58*INPUT!$C$88/100</f>
        <v>0</v>
      </c>
      <c r="AP59" s="6">
        <f>(AP56+AP57)*INPUT!$C$87/100+AP58*INPUT!$C$88/100</f>
        <v>0</v>
      </c>
      <c r="AQ59" s="6">
        <f>(AQ56+AQ57)*INPUT!$C$87/100+AQ58*INPUT!$C$88/100</f>
        <v>0</v>
      </c>
      <c r="AR59" s="6">
        <f>(AR56+AR57)*INPUT!$C$87/100+AR58*INPUT!$C$88/100</f>
        <v>0</v>
      </c>
      <c r="AS59" s="6">
        <f>(AS56+AS57)*INPUT!$C$87/100+AS58*INPUT!$C$88/100</f>
        <v>0</v>
      </c>
      <c r="AT59" s="6">
        <f>(AT56+AT57)*INPUT!$C$87/100+AT58*INPUT!$C$88/100</f>
        <v>0</v>
      </c>
      <c r="AU59" s="6">
        <f>(AU56+AU57)*INPUT!$C$87/100+AU58*INPUT!$C$88/100</f>
        <v>0</v>
      </c>
      <c r="AV59" s="6">
        <f>(AV56+AV57)*INPUT!$C$87/100+AV58*INPUT!$C$88/100</f>
        <v>0</v>
      </c>
      <c r="AW59" s="6">
        <f>(AW56+AW57)*INPUT!$C$87/100+AW58*INPUT!$C$88/100</f>
        <v>0</v>
      </c>
      <c r="AX59" s="6">
        <f>(AX56+AX57)*INPUT!$C$87/100+AX58*INPUT!$C$88/100</f>
        <v>0</v>
      </c>
      <c r="AY59" s="6">
        <f>(AY56+AY57)*INPUT!$C$87/100+AY58*INPUT!$C$88/100</f>
        <v>0</v>
      </c>
      <c r="AZ59" s="6">
        <f>(AZ56+AZ57)*INPUT!$C$87/100+AZ58*INPUT!$C$88/100</f>
        <v>0</v>
      </c>
      <c r="BA59" s="6">
        <f>(BA56+BA57)*INPUT!$C$87/100+BA58*INPUT!$C$88/100</f>
        <v>0</v>
      </c>
      <c r="BB59" s="6">
        <f>(BB56+BB57)*INPUT!$C$87/100+BB58*INPUT!$C$88/100</f>
        <v>0</v>
      </c>
      <c r="BC59" s="6">
        <f>(BC56+BC57)*INPUT!$C$87/100+BC58*INPUT!$C$88/100</f>
        <v>0</v>
      </c>
      <c r="BD59" s="6">
        <f>(BD56+BD57)*INPUT!$C$87/100+BD58*INPUT!$C$88/100</f>
        <v>0</v>
      </c>
      <c r="BE59" s="6">
        <f>(BE56+BE57)*INPUT!$C$87/100+BE58*INPUT!$C$88/100</f>
        <v>0</v>
      </c>
      <c r="BF59" s="6">
        <f>(BF56+BF57)*INPUT!$C$87/100+BF58*INPUT!$C$88/100</f>
        <v>0</v>
      </c>
      <c r="BG59" s="6">
        <f>(BG56+BG57)*INPUT!$C$87/100+BG58*INPUT!$C$88/100</f>
        <v>0</v>
      </c>
      <c r="BH59" s="6">
        <f>(BH56+BH57)*INPUT!$C$87/100+BH58*INPUT!$C$88/100</f>
        <v>0</v>
      </c>
      <c r="BI59" s="6">
        <f>(BI56+BI57)*INPUT!$C$87/100+BI58*INPUT!$C$88/100</f>
        <v>0</v>
      </c>
      <c r="BJ59" s="6">
        <f>(BJ56+BJ57)*INPUT!$C$87/100+BJ58*INPUT!$C$88/100</f>
        <v>0</v>
      </c>
      <c r="BK59" s="6">
        <f>(BK56+BK57)*INPUT!$C$87/100+BK58*INPUT!$C$88/100</f>
        <v>0</v>
      </c>
    </row>
    <row r="60" spans="2:63" x14ac:dyDescent="0.25">
      <c r="B60" s="1" t="s">
        <v>353</v>
      </c>
      <c r="D60" s="6">
        <f>D12*INPUT!$C$89/100</f>
        <v>0</v>
      </c>
      <c r="E60" s="6">
        <f>E12*INPUT!$C$89/100</f>
        <v>0</v>
      </c>
      <c r="F60" s="6">
        <f>F12*INPUT!$C$89/100</f>
        <v>0</v>
      </c>
      <c r="G60" s="6">
        <f>G12*INPUT!$C$89/100</f>
        <v>0</v>
      </c>
      <c r="H60" s="6">
        <f>H12*INPUT!$C$89/100</f>
        <v>0</v>
      </c>
      <c r="I60" s="6">
        <f>I12*INPUT!$C$89/100</f>
        <v>0</v>
      </c>
      <c r="J60" s="6">
        <f>J12*INPUT!$C$89/100</f>
        <v>0</v>
      </c>
      <c r="K60" s="6">
        <f>K12*INPUT!$C$89/100</f>
        <v>0</v>
      </c>
      <c r="L60" s="6">
        <f>L12*INPUT!$C$89/100</f>
        <v>0</v>
      </c>
      <c r="M60" s="6">
        <f>M12*INPUT!$C$89/100</f>
        <v>0</v>
      </c>
      <c r="N60" s="6">
        <f>N12*INPUT!$C$89/100</f>
        <v>0</v>
      </c>
      <c r="O60" s="6">
        <f>O12*INPUT!$C$89/100</f>
        <v>0</v>
      </c>
      <c r="P60" s="6">
        <f>P12*INPUT!$C$89/100</f>
        <v>0</v>
      </c>
      <c r="Q60" s="6">
        <f>Q12*INPUT!$C$89/100</f>
        <v>0</v>
      </c>
      <c r="R60" s="6">
        <f>R12*INPUT!$C$89/100</f>
        <v>0</v>
      </c>
      <c r="S60" s="6">
        <f>S12*INPUT!$C$89/100</f>
        <v>0</v>
      </c>
      <c r="T60" s="6">
        <f>T12*INPUT!$C$89/100</f>
        <v>0</v>
      </c>
      <c r="U60" s="6">
        <f>U12*INPUT!$C$89/100</f>
        <v>0</v>
      </c>
      <c r="V60" s="6">
        <f>V12*INPUT!$C$89/100</f>
        <v>0</v>
      </c>
      <c r="W60" s="6">
        <f>W12*INPUT!$C$89/100</f>
        <v>0</v>
      </c>
      <c r="X60" s="6">
        <f>X12*INPUT!$C$89/100</f>
        <v>0</v>
      </c>
      <c r="Y60" s="6">
        <f>Y12*INPUT!$C$89/100</f>
        <v>0</v>
      </c>
      <c r="Z60" s="6">
        <f>Z12*INPUT!$C$89/100</f>
        <v>0</v>
      </c>
      <c r="AA60" s="6">
        <f>AA12*INPUT!$C$89/100</f>
        <v>0</v>
      </c>
      <c r="AB60" s="6">
        <f>AB12*INPUT!$C$89/100</f>
        <v>0</v>
      </c>
      <c r="AC60" s="6">
        <f>AC12*INPUT!$C$89/100</f>
        <v>0</v>
      </c>
      <c r="AD60" s="6">
        <f>AD12*INPUT!$C$89/100</f>
        <v>0</v>
      </c>
      <c r="AE60" s="6">
        <f>AE12*INPUT!$C$89/100</f>
        <v>0</v>
      </c>
      <c r="AF60" s="6">
        <f>AF12*INPUT!$C$89/100</f>
        <v>0</v>
      </c>
      <c r="AG60" s="6">
        <f>AG12*INPUT!$C$89/100</f>
        <v>0</v>
      </c>
      <c r="AH60" s="6">
        <f>AH12*INPUT!$C$89/100</f>
        <v>0</v>
      </c>
      <c r="AI60" s="6">
        <f>AI12*INPUT!$C$89/100</f>
        <v>0</v>
      </c>
      <c r="AJ60" s="6">
        <f>AJ12*INPUT!$C$89/100</f>
        <v>0</v>
      </c>
      <c r="AK60" s="6">
        <f>AK12*INPUT!$C$89/100</f>
        <v>0</v>
      </c>
      <c r="AL60" s="6">
        <f>AL12*INPUT!$C$89/100</f>
        <v>0</v>
      </c>
      <c r="AM60" s="6">
        <f>AM12*INPUT!$C$89/100</f>
        <v>0</v>
      </c>
      <c r="AN60" s="6">
        <f>AN12*INPUT!$C$89/100</f>
        <v>0</v>
      </c>
      <c r="AO60" s="6">
        <f>AO12*INPUT!$C$89/100</f>
        <v>0</v>
      </c>
      <c r="AP60" s="6">
        <f>AP12*INPUT!$C$89/100</f>
        <v>0</v>
      </c>
      <c r="AQ60" s="6">
        <f>AQ12*INPUT!$C$89/100</f>
        <v>0</v>
      </c>
      <c r="AR60" s="6">
        <f>AR12*INPUT!$C$89/100</f>
        <v>0</v>
      </c>
      <c r="AS60" s="6">
        <f>AS12*INPUT!$C$89/100</f>
        <v>0</v>
      </c>
      <c r="AT60" s="6">
        <f>AT12*INPUT!$C$89/100</f>
        <v>0</v>
      </c>
      <c r="AU60" s="6">
        <f>AU12*INPUT!$C$89/100</f>
        <v>0</v>
      </c>
      <c r="AV60" s="6">
        <f>AV12*INPUT!$C$89/100</f>
        <v>0</v>
      </c>
      <c r="AW60" s="6">
        <f>AW12*INPUT!$C$89/100</f>
        <v>0</v>
      </c>
      <c r="AX60" s="6">
        <f>AX12*INPUT!$C$89/100</f>
        <v>0</v>
      </c>
      <c r="AY60" s="6">
        <f>AY12*INPUT!$C$89/100</f>
        <v>0</v>
      </c>
      <c r="AZ60" s="6">
        <f>AZ12*INPUT!$C$89/100</f>
        <v>0</v>
      </c>
      <c r="BA60" s="6">
        <f>BA12*INPUT!$C$89/100</f>
        <v>0</v>
      </c>
      <c r="BB60" s="6">
        <f>BB12*INPUT!$C$89/100</f>
        <v>0</v>
      </c>
      <c r="BC60" s="6">
        <f>BC12*INPUT!$C$89/100</f>
        <v>0</v>
      </c>
      <c r="BD60" s="6">
        <f>BD12*INPUT!$C$89/100</f>
        <v>0</v>
      </c>
      <c r="BE60" s="6">
        <f>BE12*INPUT!$C$89/100</f>
        <v>0</v>
      </c>
      <c r="BF60" s="6">
        <f>BF12*INPUT!$C$89/100</f>
        <v>0</v>
      </c>
      <c r="BG60" s="6">
        <f>BG12*INPUT!$C$89/100</f>
        <v>0</v>
      </c>
      <c r="BH60" s="6">
        <f>BH12*INPUT!$C$89/100</f>
        <v>0</v>
      </c>
      <c r="BI60" s="6">
        <f>BI12*INPUT!$C$89/100</f>
        <v>0</v>
      </c>
      <c r="BJ60" s="6">
        <f>BJ12*INPUT!$C$89/100</f>
        <v>0</v>
      </c>
      <c r="BK60" s="6">
        <f>BK12*INPUT!$C$89/100</f>
        <v>0</v>
      </c>
    </row>
    <row r="61" spans="2:63" x14ac:dyDescent="0.25">
      <c r="B61" s="1" t="s">
        <v>354</v>
      </c>
      <c r="D61" s="6">
        <f>D12*INPUT!$C$90/100</f>
        <v>0</v>
      </c>
      <c r="E61" s="6">
        <f>E12*INPUT!$C$90/100</f>
        <v>0</v>
      </c>
      <c r="F61" s="6">
        <f>F12*INPUT!$C$90/100</f>
        <v>0</v>
      </c>
      <c r="G61" s="6">
        <f>G12*INPUT!$C$90/100</f>
        <v>0</v>
      </c>
      <c r="H61" s="6">
        <f>H12*INPUT!$C$90/100</f>
        <v>0</v>
      </c>
      <c r="I61" s="6">
        <f>I12*INPUT!$C$90/100</f>
        <v>0</v>
      </c>
      <c r="J61" s="6">
        <f>J12*INPUT!$C$90/100</f>
        <v>0</v>
      </c>
      <c r="K61" s="6">
        <f>K12*INPUT!$C$90/100</f>
        <v>0</v>
      </c>
      <c r="L61" s="6">
        <f>L12*INPUT!$C$90/100</f>
        <v>0</v>
      </c>
      <c r="M61" s="6">
        <f>M12*INPUT!$C$90/100</f>
        <v>0</v>
      </c>
      <c r="N61" s="6">
        <f>N12*INPUT!$C$90/100</f>
        <v>0</v>
      </c>
      <c r="O61" s="6">
        <f>O12*INPUT!$C$90/100</f>
        <v>0</v>
      </c>
      <c r="P61" s="6">
        <f>P12*INPUT!$C$90/100</f>
        <v>0</v>
      </c>
      <c r="Q61" s="6">
        <f>Q12*INPUT!$C$90/100</f>
        <v>0</v>
      </c>
      <c r="R61" s="6">
        <f>R12*INPUT!$C$90/100</f>
        <v>0</v>
      </c>
      <c r="S61" s="6">
        <f>S12*INPUT!$C$90/100</f>
        <v>0</v>
      </c>
      <c r="T61" s="6">
        <f>T12*INPUT!$C$90/100</f>
        <v>0</v>
      </c>
      <c r="U61" s="6">
        <f>U12*INPUT!$C$90/100</f>
        <v>0</v>
      </c>
      <c r="V61" s="6">
        <f>V12*INPUT!$C$90/100</f>
        <v>0</v>
      </c>
      <c r="W61" s="6">
        <f>W12*INPUT!$C$90/100</f>
        <v>0</v>
      </c>
      <c r="X61" s="6">
        <f>X12*INPUT!$C$90/100</f>
        <v>0</v>
      </c>
      <c r="Y61" s="6">
        <f>Y12*INPUT!$C$90/100</f>
        <v>0</v>
      </c>
      <c r="Z61" s="6">
        <f>Z12*INPUT!$C$90/100</f>
        <v>0</v>
      </c>
      <c r="AA61" s="6">
        <f>AA12*INPUT!$C$90/100</f>
        <v>0</v>
      </c>
      <c r="AB61" s="6">
        <f>AB12*INPUT!$C$90/100</f>
        <v>0</v>
      </c>
      <c r="AC61" s="6">
        <f>AC12*INPUT!$C$90/100</f>
        <v>0</v>
      </c>
      <c r="AD61" s="6">
        <f>AD12*INPUT!$C$90/100</f>
        <v>0</v>
      </c>
      <c r="AE61" s="6">
        <f>AE12*INPUT!$C$90/100</f>
        <v>0</v>
      </c>
      <c r="AF61" s="6">
        <f>AF12*INPUT!$C$90/100</f>
        <v>0</v>
      </c>
      <c r="AG61" s="6">
        <f>AG12*INPUT!$C$90/100</f>
        <v>0</v>
      </c>
      <c r="AH61" s="6">
        <f>AH12*INPUT!$C$90/100</f>
        <v>0</v>
      </c>
      <c r="AI61" s="6">
        <f>AI12*INPUT!$C$90/100</f>
        <v>0</v>
      </c>
      <c r="AJ61" s="6">
        <f>AJ12*INPUT!$C$90/100</f>
        <v>0</v>
      </c>
      <c r="AK61" s="6">
        <f>AK12*INPUT!$C$90/100</f>
        <v>0</v>
      </c>
      <c r="AL61" s="6">
        <f>AL12*INPUT!$C$90/100</f>
        <v>0</v>
      </c>
      <c r="AM61" s="6">
        <f>AM12*INPUT!$C$90/100</f>
        <v>0</v>
      </c>
      <c r="AN61" s="6">
        <f>AN12*INPUT!$C$90/100</f>
        <v>0</v>
      </c>
      <c r="AO61" s="6">
        <f>AO12*INPUT!$C$90/100</f>
        <v>0</v>
      </c>
      <c r="AP61" s="6">
        <f>AP12*INPUT!$C$90/100</f>
        <v>0</v>
      </c>
      <c r="AQ61" s="6">
        <f>AQ12*INPUT!$C$90/100</f>
        <v>0</v>
      </c>
      <c r="AR61" s="6">
        <f>AR12*INPUT!$C$90/100</f>
        <v>0</v>
      </c>
      <c r="AS61" s="6">
        <f>AS12*INPUT!$C$90/100</f>
        <v>0</v>
      </c>
      <c r="AT61" s="6">
        <f>AT12*INPUT!$C$90/100</f>
        <v>0</v>
      </c>
      <c r="AU61" s="6">
        <f>AU12*INPUT!$C$90/100</f>
        <v>0</v>
      </c>
      <c r="AV61" s="6">
        <f>AV12*INPUT!$C$90/100</f>
        <v>0</v>
      </c>
      <c r="AW61" s="6">
        <f>AW12*INPUT!$C$90/100</f>
        <v>0</v>
      </c>
      <c r="AX61" s="6">
        <f>AX12*INPUT!$C$90/100</f>
        <v>0</v>
      </c>
      <c r="AY61" s="6">
        <f>AY12*INPUT!$C$90/100</f>
        <v>0</v>
      </c>
      <c r="AZ61" s="6">
        <f>AZ12*INPUT!$C$90/100</f>
        <v>0</v>
      </c>
      <c r="BA61" s="6">
        <f>BA12*INPUT!$C$90/100</f>
        <v>0</v>
      </c>
      <c r="BB61" s="6">
        <f>BB12*INPUT!$C$90/100</f>
        <v>0</v>
      </c>
      <c r="BC61" s="6">
        <f>BC12*INPUT!$C$90/100</f>
        <v>0</v>
      </c>
      <c r="BD61" s="6">
        <f>BD12*INPUT!$C$90/100</f>
        <v>0</v>
      </c>
      <c r="BE61" s="6">
        <f>BE12*INPUT!$C$90/100</f>
        <v>0</v>
      </c>
      <c r="BF61" s="6">
        <f>BF12*INPUT!$C$90/100</f>
        <v>0</v>
      </c>
      <c r="BG61" s="6">
        <f>BG12*INPUT!$C$90/100</f>
        <v>0</v>
      </c>
      <c r="BH61" s="6">
        <f>BH12*INPUT!$C$90/100</f>
        <v>0</v>
      </c>
      <c r="BI61" s="6">
        <f>BI12*INPUT!$C$90/100</f>
        <v>0</v>
      </c>
      <c r="BJ61" s="6">
        <f>BJ12*INPUT!$C$90/100</f>
        <v>0</v>
      </c>
      <c r="BK61" s="6">
        <f>BK12*INPUT!$C$90/100</f>
        <v>0</v>
      </c>
    </row>
    <row r="62" spans="2:63" x14ac:dyDescent="0.25">
      <c r="B62" s="1" t="s">
        <v>355</v>
      </c>
      <c r="D62" s="6">
        <f t="shared" ref="D62:AI62" si="17">D12-D59-D60-D61</f>
        <v>0</v>
      </c>
      <c r="E62" s="6">
        <f t="shared" si="17"/>
        <v>0</v>
      </c>
      <c r="F62" s="6">
        <f t="shared" si="17"/>
        <v>0</v>
      </c>
      <c r="G62" s="6">
        <f t="shared" si="17"/>
        <v>0</v>
      </c>
      <c r="H62" s="6">
        <f t="shared" si="17"/>
        <v>0</v>
      </c>
      <c r="I62" s="6">
        <f t="shared" si="17"/>
        <v>0</v>
      </c>
      <c r="J62" s="6">
        <f t="shared" si="17"/>
        <v>0</v>
      </c>
      <c r="K62" s="6">
        <f t="shared" si="17"/>
        <v>0</v>
      </c>
      <c r="L62" s="6">
        <f t="shared" si="17"/>
        <v>0</v>
      </c>
      <c r="M62" s="6">
        <f t="shared" si="17"/>
        <v>0</v>
      </c>
      <c r="N62" s="6">
        <f t="shared" si="17"/>
        <v>0</v>
      </c>
      <c r="O62" s="6">
        <f t="shared" si="17"/>
        <v>0</v>
      </c>
      <c r="P62" s="6">
        <f t="shared" si="17"/>
        <v>0</v>
      </c>
      <c r="Q62" s="6">
        <f t="shared" si="17"/>
        <v>0</v>
      </c>
      <c r="R62" s="6">
        <f t="shared" si="17"/>
        <v>0</v>
      </c>
      <c r="S62" s="6">
        <f t="shared" si="17"/>
        <v>0</v>
      </c>
      <c r="T62" s="6">
        <f t="shared" si="17"/>
        <v>0</v>
      </c>
      <c r="U62" s="6">
        <f t="shared" si="17"/>
        <v>0</v>
      </c>
      <c r="V62" s="6">
        <f t="shared" si="17"/>
        <v>0</v>
      </c>
      <c r="W62" s="6">
        <f t="shared" si="17"/>
        <v>0</v>
      </c>
      <c r="X62" s="6">
        <f t="shared" si="17"/>
        <v>0</v>
      </c>
      <c r="Y62" s="6">
        <f t="shared" si="17"/>
        <v>0</v>
      </c>
      <c r="Z62" s="6">
        <f t="shared" si="17"/>
        <v>0</v>
      </c>
      <c r="AA62" s="6">
        <f t="shared" si="17"/>
        <v>0</v>
      </c>
      <c r="AB62" s="6">
        <f t="shared" si="17"/>
        <v>0</v>
      </c>
      <c r="AC62" s="6">
        <f t="shared" si="17"/>
        <v>0</v>
      </c>
      <c r="AD62" s="6">
        <f t="shared" si="17"/>
        <v>0</v>
      </c>
      <c r="AE62" s="6">
        <f t="shared" si="17"/>
        <v>0</v>
      </c>
      <c r="AF62" s="6">
        <f t="shared" si="17"/>
        <v>0</v>
      </c>
      <c r="AG62" s="6">
        <f t="shared" si="17"/>
        <v>0</v>
      </c>
      <c r="AH62" s="6">
        <f t="shared" si="17"/>
        <v>0</v>
      </c>
      <c r="AI62" s="6">
        <f t="shared" si="17"/>
        <v>0</v>
      </c>
      <c r="AJ62" s="6">
        <f t="shared" ref="AJ62:BK62" si="18">AJ12-AJ59-AJ60-AJ61</f>
        <v>0</v>
      </c>
      <c r="AK62" s="6">
        <f t="shared" si="18"/>
        <v>0</v>
      </c>
      <c r="AL62" s="6">
        <f t="shared" si="18"/>
        <v>0</v>
      </c>
      <c r="AM62" s="6">
        <f t="shared" si="18"/>
        <v>0</v>
      </c>
      <c r="AN62" s="6">
        <f t="shared" si="18"/>
        <v>0</v>
      </c>
      <c r="AO62" s="6">
        <f t="shared" si="18"/>
        <v>0</v>
      </c>
      <c r="AP62" s="6">
        <f t="shared" si="18"/>
        <v>0</v>
      </c>
      <c r="AQ62" s="6">
        <f t="shared" si="18"/>
        <v>0</v>
      </c>
      <c r="AR62" s="6">
        <f t="shared" si="18"/>
        <v>0</v>
      </c>
      <c r="AS62" s="6">
        <f t="shared" si="18"/>
        <v>0</v>
      </c>
      <c r="AT62" s="6">
        <f t="shared" si="18"/>
        <v>0</v>
      </c>
      <c r="AU62" s="6">
        <f t="shared" si="18"/>
        <v>0</v>
      </c>
      <c r="AV62" s="6">
        <f t="shared" si="18"/>
        <v>0</v>
      </c>
      <c r="AW62" s="6">
        <f t="shared" si="18"/>
        <v>0</v>
      </c>
      <c r="AX62" s="6">
        <f t="shared" si="18"/>
        <v>0</v>
      </c>
      <c r="AY62" s="6">
        <f t="shared" si="18"/>
        <v>0</v>
      </c>
      <c r="AZ62" s="6">
        <f t="shared" si="18"/>
        <v>0</v>
      </c>
      <c r="BA62" s="6">
        <f t="shared" si="18"/>
        <v>0</v>
      </c>
      <c r="BB62" s="6">
        <f t="shared" si="18"/>
        <v>0</v>
      </c>
      <c r="BC62" s="6">
        <f t="shared" si="18"/>
        <v>0</v>
      </c>
      <c r="BD62" s="6">
        <f t="shared" si="18"/>
        <v>0</v>
      </c>
      <c r="BE62" s="6">
        <f t="shared" si="18"/>
        <v>0</v>
      </c>
      <c r="BF62" s="6">
        <f t="shared" si="18"/>
        <v>0</v>
      </c>
      <c r="BG62" s="6">
        <f t="shared" si="18"/>
        <v>0</v>
      </c>
      <c r="BH62" s="6">
        <f t="shared" si="18"/>
        <v>0</v>
      </c>
      <c r="BI62" s="6">
        <f t="shared" si="18"/>
        <v>0</v>
      </c>
      <c r="BJ62" s="6">
        <f t="shared" si="18"/>
        <v>0</v>
      </c>
      <c r="BK62" s="6">
        <f t="shared" si="18"/>
        <v>0</v>
      </c>
    </row>
    <row r="63" spans="2:63" x14ac:dyDescent="0.25">
      <c r="B63" s="1" t="s">
        <v>356</v>
      </c>
      <c r="D63" s="6">
        <f>IF(AND(IF(AND(D51&gt;=0,D51&lt;INPUT!$C$76),1,0)=1,D51&lt;INPUT!$C$91),$C$107/INPUT!$C$91,0)</f>
        <v>0</v>
      </c>
      <c r="E63" s="6">
        <f>IF(AND(IF(AND(E51&gt;=0,E51&lt;INPUT!$C$76),1,0)=1,E51&lt;INPUT!$C$91),$C$107/INPUT!$C$91,0)</f>
        <v>0</v>
      </c>
      <c r="F63" s="6">
        <f>IF(AND(IF(AND(F51&gt;=0,F51&lt;INPUT!$C$76),1,0)=1,F51&lt;INPUT!$C$91),$C$107/INPUT!$C$91,0)</f>
        <v>0</v>
      </c>
      <c r="G63" s="6">
        <f>IF(AND(IF(AND(G51&gt;=0,G51&lt;INPUT!$C$76),1,0)=1,G51&lt;INPUT!$C$91),$C$107/INPUT!$C$91,0)</f>
        <v>0</v>
      </c>
      <c r="H63" s="6">
        <f>IF(AND(IF(AND(H51&gt;=0,H51&lt;INPUT!$C$76),1,0)=1,H51&lt;INPUT!$C$91),$C$107/INPUT!$C$91,0)</f>
        <v>0</v>
      </c>
      <c r="I63" s="6">
        <f>IF(AND(IF(AND(I51&gt;=0,I51&lt;INPUT!$C$76),1,0)=1,I51&lt;INPUT!$C$91),$C$107/INPUT!$C$91,0)</f>
        <v>0</v>
      </c>
      <c r="J63" s="6">
        <f>IF(AND(IF(AND(J51&gt;=0,J51&lt;INPUT!$C$76),1,0)=1,J51&lt;INPUT!$C$91),$C$107/INPUT!$C$91,0)</f>
        <v>0</v>
      </c>
      <c r="K63" s="6">
        <f>IF(AND(IF(AND(K51&gt;=0,K51&lt;INPUT!$C$76),1,0)=1,K51&lt;INPUT!$C$91),$C$107/INPUT!$C$91,0)</f>
        <v>0</v>
      </c>
      <c r="L63" s="6">
        <f>IF(AND(IF(AND(L51&gt;=0,L51&lt;INPUT!$C$76),1,0)=1,L51&lt;INPUT!$C$91),$C$107/INPUT!$C$91,0)</f>
        <v>0</v>
      </c>
      <c r="M63" s="6">
        <f>IF(AND(IF(AND(M51&gt;=0,M51&lt;INPUT!$C$76),1,0)=1,M51&lt;INPUT!$C$91),$C$107/INPUT!$C$91,0)</f>
        <v>0</v>
      </c>
      <c r="N63" s="6">
        <f>IF(AND(IF(AND(N51&gt;=0,N51&lt;INPUT!$C$76),1,0)=1,N51&lt;INPUT!$C$91),$C$107/INPUT!$C$91,0)</f>
        <v>0</v>
      </c>
      <c r="O63" s="6">
        <f>IF(AND(IF(AND(O51&gt;=0,O51&lt;INPUT!$C$76),1,0)=1,O51&lt;INPUT!$C$91),$C$107/INPUT!$C$91,0)</f>
        <v>0</v>
      </c>
      <c r="P63" s="6">
        <f>IF(AND(IF(AND(P51&gt;=0,P51&lt;INPUT!$C$76),1,0)=1,P51&lt;INPUT!$C$91),$C$107/INPUT!$C$91,0)</f>
        <v>0</v>
      </c>
      <c r="Q63" s="6">
        <f>IF(AND(IF(AND(Q51&gt;=0,Q51&lt;INPUT!$C$76),1,0)=1,Q51&lt;INPUT!$C$91),$C$107/INPUT!$C$91,0)</f>
        <v>0</v>
      </c>
      <c r="R63" s="6">
        <f>IF(AND(IF(AND(R51&gt;=0,R51&lt;INPUT!$C$76),1,0)=1,R51&lt;INPUT!$C$91),$C$107/INPUT!$C$91,0)</f>
        <v>0</v>
      </c>
      <c r="S63" s="6">
        <f>IF(AND(IF(AND(S51&gt;=0,S51&lt;INPUT!$C$76),1,0)=1,S51&lt;INPUT!$C$91),$C$107/INPUT!$C$91,0)</f>
        <v>0</v>
      </c>
      <c r="T63" s="6">
        <f>IF(AND(IF(AND(T51&gt;=0,T51&lt;INPUT!$C$76),1,0)=1,T51&lt;INPUT!$C$91),$C$107/INPUT!$C$91,0)</f>
        <v>0</v>
      </c>
      <c r="U63" s="6">
        <f>IF(AND(IF(AND(U51&gt;=0,U51&lt;INPUT!$C$76),1,0)=1,U51&lt;INPUT!$C$91),$C$107/INPUT!$C$91,0)</f>
        <v>0</v>
      </c>
      <c r="V63" s="6">
        <f>IF(AND(IF(AND(V51&gt;=0,V51&lt;INPUT!$C$76),1,0)=1,V51&lt;INPUT!$C$91),$C$107/INPUT!$C$91,0)</f>
        <v>0</v>
      </c>
      <c r="W63" s="6">
        <f>IF(AND(IF(AND(W51&gt;=0,W51&lt;INPUT!$C$76),1,0)=1,W51&lt;INPUT!$C$91),$C$107/INPUT!$C$91,0)</f>
        <v>0</v>
      </c>
      <c r="X63" s="6">
        <f>IF(AND(IF(AND(X51&gt;=0,X51&lt;INPUT!$C$76),1,0)=1,X51&lt;INPUT!$C$91),$C$107/INPUT!$C$91,0)</f>
        <v>0</v>
      </c>
      <c r="Y63" s="6">
        <f>IF(AND(IF(AND(Y51&gt;=0,Y51&lt;INPUT!$C$76),1,0)=1,Y51&lt;INPUT!$C$91),$C$107/INPUT!$C$91,0)</f>
        <v>0</v>
      </c>
      <c r="Z63" s="6">
        <f>IF(AND(IF(AND(Z51&gt;=0,Z51&lt;INPUT!$C$76),1,0)=1,Z51&lt;INPUT!$C$91),$C$107/INPUT!$C$91,0)</f>
        <v>0</v>
      </c>
      <c r="AA63" s="6">
        <f>IF(AND(IF(AND(AA51&gt;=0,AA51&lt;INPUT!$C$76),1,0)=1,AA51&lt;INPUT!$C$91),$C$107/INPUT!$C$91,0)</f>
        <v>0</v>
      </c>
      <c r="AB63" s="6">
        <f>IF(AND(IF(AND(AB51&gt;=0,AB51&lt;INPUT!$C$76),1,0)=1,AB51&lt;INPUT!$C$91),$C$107/INPUT!$C$91,0)</f>
        <v>0</v>
      </c>
      <c r="AC63" s="6">
        <f>IF(AND(IF(AND(AC51&gt;=0,AC51&lt;INPUT!$C$76),1,0)=1,AC51&lt;INPUT!$C$91),$C$107/INPUT!$C$91,0)</f>
        <v>0</v>
      </c>
      <c r="AD63" s="6">
        <f>IF(AND(IF(AND(AD51&gt;=0,AD51&lt;INPUT!$C$76),1,0)=1,AD51&lt;INPUT!$C$91),$C$107/INPUT!$C$91,0)</f>
        <v>0</v>
      </c>
      <c r="AE63" s="6">
        <f>IF(AND(IF(AND(AE51&gt;=0,AE51&lt;INPUT!$C$76),1,0)=1,AE51&lt;INPUT!$C$91),$C$107/INPUT!$C$91,0)</f>
        <v>0</v>
      </c>
      <c r="AF63" s="6">
        <f>IF(AND(IF(AND(AF51&gt;=0,AF51&lt;INPUT!$C$76),1,0)=1,AF51&lt;INPUT!$C$91),$C$107/INPUT!$C$91,0)</f>
        <v>0</v>
      </c>
      <c r="AG63" s="6">
        <f>IF(AND(IF(AND(AG51&gt;=0,AG51&lt;INPUT!$C$76),1,0)=1,AG51&lt;INPUT!$C$91),$C$107/INPUT!$C$91,0)</f>
        <v>0</v>
      </c>
      <c r="AH63" s="6">
        <f>IF(AND(IF(AND(AH51&gt;=0,AH51&lt;INPUT!$C$76),1,0)=1,AH51&lt;INPUT!$C$91),$C$107/INPUT!$C$91,0)</f>
        <v>0</v>
      </c>
      <c r="AI63" s="6">
        <f>IF(AND(IF(AND(AI51&gt;=0,AI51&lt;INPUT!$C$76),1,0)=1,AI51&lt;INPUT!$C$91),$C$107/INPUT!$C$91,0)</f>
        <v>0</v>
      </c>
      <c r="AJ63" s="6">
        <f>IF(AND(IF(AND(AJ51&gt;=0,AJ51&lt;INPUT!$C$76),1,0)=1,AJ51&lt;INPUT!$C$91),$C$107/INPUT!$C$91,0)</f>
        <v>0</v>
      </c>
      <c r="AK63" s="6">
        <f>IF(AND(IF(AND(AK51&gt;=0,AK51&lt;INPUT!$C$76),1,0)=1,AK51&lt;INPUT!$C$91),$C$107/INPUT!$C$91,0)</f>
        <v>0</v>
      </c>
      <c r="AL63" s="6">
        <f>IF(AND(IF(AND(AL51&gt;=0,AL51&lt;INPUT!$C$76),1,0)=1,AL51&lt;INPUT!$C$91),$C$107/INPUT!$C$91,0)</f>
        <v>0</v>
      </c>
      <c r="AM63" s="6">
        <f>IF(AND(IF(AND(AM51&gt;=0,AM51&lt;INPUT!$C$76),1,0)=1,AM51&lt;INPUT!$C$91),$C$107/INPUT!$C$91,0)</f>
        <v>0</v>
      </c>
      <c r="AN63" s="6">
        <f>IF(AND(IF(AND(AN51&gt;=0,AN51&lt;INPUT!$C$76),1,0)=1,AN51&lt;INPUT!$C$91),$C$107/INPUT!$C$91,0)</f>
        <v>0</v>
      </c>
      <c r="AO63" s="6">
        <f>IF(AND(IF(AND(AO51&gt;=0,AO51&lt;INPUT!$C$76),1,0)=1,AO51&lt;INPUT!$C$91),$C$107/INPUT!$C$91,0)</f>
        <v>0</v>
      </c>
      <c r="AP63" s="6">
        <f>IF(AND(IF(AND(AP51&gt;=0,AP51&lt;INPUT!$C$76),1,0)=1,AP51&lt;INPUT!$C$91),$C$107/INPUT!$C$91,0)</f>
        <v>0</v>
      </c>
      <c r="AQ63" s="6">
        <f>IF(AND(IF(AND(AQ51&gt;=0,AQ51&lt;INPUT!$C$76),1,0)=1,AQ51&lt;INPUT!$C$91),$C$107/INPUT!$C$91,0)</f>
        <v>0</v>
      </c>
      <c r="AR63" s="6">
        <f>IF(AND(IF(AND(AR51&gt;=0,AR51&lt;INPUT!$C$76),1,0)=1,AR51&lt;INPUT!$C$91),$C$107/INPUT!$C$91,0)</f>
        <v>0</v>
      </c>
      <c r="AS63" s="6">
        <f>IF(AND(IF(AND(AS51&gt;=0,AS51&lt;INPUT!$C$76),1,0)=1,AS51&lt;INPUT!$C$91),$C$107/INPUT!$C$91,0)</f>
        <v>0</v>
      </c>
      <c r="AT63" s="6">
        <f>IF(AND(IF(AND(AT51&gt;=0,AT51&lt;INPUT!$C$76),1,0)=1,AT51&lt;INPUT!$C$91),$C$107/INPUT!$C$91,0)</f>
        <v>0</v>
      </c>
      <c r="AU63" s="6">
        <f>IF(AND(IF(AND(AU51&gt;=0,AU51&lt;INPUT!$C$76),1,0)=1,AU51&lt;INPUT!$C$91),$C$107/INPUT!$C$91,0)</f>
        <v>0</v>
      </c>
      <c r="AV63" s="6">
        <f>IF(AND(IF(AND(AV51&gt;=0,AV51&lt;INPUT!$C$76),1,0)=1,AV51&lt;INPUT!$C$91),$C$107/INPUT!$C$91,0)</f>
        <v>0</v>
      </c>
      <c r="AW63" s="6">
        <f>IF(AND(IF(AND(AW51&gt;=0,AW51&lt;INPUT!$C$76),1,0)=1,AW51&lt;INPUT!$C$91),$C$107/INPUT!$C$91,0)</f>
        <v>0</v>
      </c>
      <c r="AX63" s="6">
        <f>IF(AND(IF(AND(AX51&gt;=0,AX51&lt;INPUT!$C$76),1,0)=1,AX51&lt;INPUT!$C$91),$C$107/INPUT!$C$91,0)</f>
        <v>0</v>
      </c>
      <c r="AY63" s="6">
        <f>IF(AND(IF(AND(AY51&gt;=0,AY51&lt;INPUT!$C$76),1,0)=1,AY51&lt;INPUT!$C$91),$C$107/INPUT!$C$91,0)</f>
        <v>0</v>
      </c>
      <c r="AZ63" s="6">
        <f>IF(AND(IF(AND(AZ51&gt;=0,AZ51&lt;INPUT!$C$76),1,0)=1,AZ51&lt;INPUT!$C$91),$C$107/INPUT!$C$91,0)</f>
        <v>0</v>
      </c>
      <c r="BA63" s="6">
        <f>IF(AND(IF(AND(BA51&gt;=0,BA51&lt;INPUT!$C$76),1,0)=1,BA51&lt;INPUT!$C$91),$C$107/INPUT!$C$91,0)</f>
        <v>0</v>
      </c>
      <c r="BB63" s="6">
        <f>IF(AND(IF(AND(BB51&gt;=0,BB51&lt;INPUT!$C$76),1,0)=1,BB51&lt;INPUT!$C$91),$C$107/INPUT!$C$91,0)</f>
        <v>0</v>
      </c>
      <c r="BC63" s="6">
        <f>IF(AND(IF(AND(BC51&gt;=0,BC51&lt;INPUT!$C$76),1,0)=1,BC51&lt;INPUT!$C$91),$C$107/INPUT!$C$91,0)</f>
        <v>0</v>
      </c>
      <c r="BD63" s="6">
        <f>IF(AND(IF(AND(BD51&gt;=0,BD51&lt;INPUT!$C$76),1,0)=1,BD51&lt;INPUT!$C$91),$C$107/INPUT!$C$91,0)</f>
        <v>0</v>
      </c>
      <c r="BE63" s="6">
        <f>IF(AND(IF(AND(BE51&gt;=0,BE51&lt;INPUT!$C$76),1,0)=1,BE51&lt;INPUT!$C$91),$C$107/INPUT!$C$91,0)</f>
        <v>0</v>
      </c>
      <c r="BF63" s="6">
        <f>IF(AND(IF(AND(BF51&gt;=0,BF51&lt;INPUT!$C$76),1,0)=1,BF51&lt;INPUT!$C$91),$C$107/INPUT!$C$91,0)</f>
        <v>0</v>
      </c>
      <c r="BG63" s="6">
        <f>IF(AND(IF(AND(BG51&gt;=0,BG51&lt;INPUT!$C$76),1,0)=1,BG51&lt;INPUT!$C$91),$C$107/INPUT!$C$91,0)</f>
        <v>0</v>
      </c>
      <c r="BH63" s="6">
        <f>IF(AND(IF(AND(BH51&gt;=0,BH51&lt;INPUT!$C$76),1,0)=1,BH51&lt;INPUT!$C$91),$C$107/INPUT!$C$91,0)</f>
        <v>0</v>
      </c>
      <c r="BI63" s="6">
        <f>IF(AND(IF(AND(BI51&gt;=0,BI51&lt;INPUT!$C$76),1,0)=1,BI51&lt;INPUT!$C$91),$C$107/INPUT!$C$91,0)</f>
        <v>0</v>
      </c>
      <c r="BJ63" s="6">
        <f>IF(AND(IF(AND(BJ51&gt;=0,BJ51&lt;INPUT!$C$76),1,0)=1,BJ51&lt;INPUT!$C$91),$C$107/INPUT!$C$91,0)</f>
        <v>0</v>
      </c>
      <c r="BK63" s="6">
        <f>IF(AND(IF(AND(BK51&gt;=0,BK51&lt;INPUT!$C$76),1,0)=1,BK51&lt;INPUT!$C$91),$C$107/INPUT!$C$91,0)</f>
        <v>0</v>
      </c>
    </row>
    <row r="64" spans="2:63" x14ac:dyDescent="0.25">
      <c r="B64" s="1" t="s">
        <v>203</v>
      </c>
      <c r="D64" s="6">
        <f>MAX(D62-D63,0)*INPUT!$C$78/100</f>
        <v>0</v>
      </c>
      <c r="E64" s="6">
        <f>MAX(E62-E63,0)*INPUT!$C$78/100</f>
        <v>0</v>
      </c>
      <c r="F64" s="6">
        <f>MAX(F62-F63,0)*INPUT!$C$78/100</f>
        <v>0</v>
      </c>
      <c r="G64" s="6">
        <f>MAX(G62-G63,0)*INPUT!$C$78/100</f>
        <v>0</v>
      </c>
      <c r="H64" s="6">
        <f>MAX(H62-H63,0)*INPUT!$C$78/100</f>
        <v>0</v>
      </c>
      <c r="I64" s="6">
        <f>MAX(I62-I63,0)*INPUT!$C$78/100</f>
        <v>0</v>
      </c>
      <c r="J64" s="6">
        <f>MAX(J62-J63,0)*INPUT!$C$78/100</f>
        <v>0</v>
      </c>
      <c r="K64" s="6">
        <f>MAX(K62-K63,0)*INPUT!$C$78/100</f>
        <v>0</v>
      </c>
      <c r="L64" s="6">
        <f>MAX(L62-L63,0)*INPUT!$C$78/100</f>
        <v>0</v>
      </c>
      <c r="M64" s="6">
        <f>MAX(M62-M63,0)*INPUT!$C$78/100</f>
        <v>0</v>
      </c>
      <c r="N64" s="6">
        <f>MAX(N62-N63,0)*INPUT!$C$78/100</f>
        <v>0</v>
      </c>
      <c r="O64" s="6">
        <f>MAX(O62-O63,0)*INPUT!$C$78/100</f>
        <v>0</v>
      </c>
      <c r="P64" s="6">
        <f>MAX(P62-P63,0)*INPUT!$C$78/100</f>
        <v>0</v>
      </c>
      <c r="Q64" s="6">
        <f>MAX(Q62-Q63,0)*INPUT!$C$78/100</f>
        <v>0</v>
      </c>
      <c r="R64" s="6">
        <f>MAX(R62-R63,0)*INPUT!$C$78/100</f>
        <v>0</v>
      </c>
      <c r="S64" s="6">
        <f>MAX(S62-S63,0)*INPUT!$C$78/100</f>
        <v>0</v>
      </c>
      <c r="T64" s="6">
        <f>MAX(T62-T63,0)*INPUT!$C$78/100</f>
        <v>0</v>
      </c>
      <c r="U64" s="6">
        <f>MAX(U62-U63,0)*INPUT!$C$78/100</f>
        <v>0</v>
      </c>
      <c r="V64" s="6">
        <f>MAX(V62-V63,0)*INPUT!$C$78/100</f>
        <v>0</v>
      </c>
      <c r="W64" s="6">
        <f>MAX(W62-W63,0)*INPUT!$C$78/100</f>
        <v>0</v>
      </c>
      <c r="X64" s="6">
        <f>MAX(X62-X63,0)*INPUT!$C$78/100</f>
        <v>0</v>
      </c>
      <c r="Y64" s="6">
        <f>MAX(Y62-Y63,0)*INPUT!$C$78/100</f>
        <v>0</v>
      </c>
      <c r="Z64" s="6">
        <f>MAX(Z62-Z63,0)*INPUT!$C$78/100</f>
        <v>0</v>
      </c>
      <c r="AA64" s="6">
        <f>MAX(AA62-AA63,0)*INPUT!$C$78/100</f>
        <v>0</v>
      </c>
      <c r="AB64" s="6">
        <f>MAX(AB62-AB63,0)*INPUT!$C$78/100</f>
        <v>0</v>
      </c>
      <c r="AC64" s="6">
        <f>MAX(AC62-AC63,0)*INPUT!$C$78/100</f>
        <v>0</v>
      </c>
      <c r="AD64" s="6">
        <f>MAX(AD62-AD63,0)*INPUT!$C$78/100</f>
        <v>0</v>
      </c>
      <c r="AE64" s="6">
        <f>MAX(AE62-AE63,0)*INPUT!$C$78/100</f>
        <v>0</v>
      </c>
      <c r="AF64" s="6">
        <f>MAX(AF62-AF63,0)*INPUT!$C$78/100</f>
        <v>0</v>
      </c>
      <c r="AG64" s="6">
        <f>MAX(AG62-AG63,0)*INPUT!$C$78/100</f>
        <v>0</v>
      </c>
      <c r="AH64" s="6">
        <f>MAX(AH62-AH63,0)*INPUT!$C$78/100</f>
        <v>0</v>
      </c>
      <c r="AI64" s="6">
        <f>MAX(AI62-AI63,0)*INPUT!$C$78/100</f>
        <v>0</v>
      </c>
      <c r="AJ64" s="6">
        <f>MAX(AJ62-AJ63,0)*INPUT!$C$78/100</f>
        <v>0</v>
      </c>
      <c r="AK64" s="6">
        <f>MAX(AK62-AK63,0)*INPUT!$C$78/100</f>
        <v>0</v>
      </c>
      <c r="AL64" s="6">
        <f>MAX(AL62-AL63,0)*INPUT!$C$78/100</f>
        <v>0</v>
      </c>
      <c r="AM64" s="6">
        <f>MAX(AM62-AM63,0)*INPUT!$C$78/100</f>
        <v>0</v>
      </c>
      <c r="AN64" s="6">
        <f>MAX(AN62-AN63,0)*INPUT!$C$78/100</f>
        <v>0</v>
      </c>
      <c r="AO64" s="6">
        <f>MAX(AO62-AO63,0)*INPUT!$C$78/100</f>
        <v>0</v>
      </c>
      <c r="AP64" s="6">
        <f>MAX(AP62-AP63,0)*INPUT!$C$78/100</f>
        <v>0</v>
      </c>
      <c r="AQ64" s="6">
        <f>MAX(AQ62-AQ63,0)*INPUT!$C$78/100</f>
        <v>0</v>
      </c>
      <c r="AR64" s="6">
        <f>MAX(AR62-AR63,0)*INPUT!$C$78/100</f>
        <v>0</v>
      </c>
      <c r="AS64" s="6">
        <f>MAX(AS62-AS63,0)*INPUT!$C$78/100</f>
        <v>0</v>
      </c>
      <c r="AT64" s="6">
        <f>MAX(AT62-AT63,0)*INPUT!$C$78/100</f>
        <v>0</v>
      </c>
      <c r="AU64" s="6">
        <f>MAX(AU62-AU63,0)*INPUT!$C$78/100</f>
        <v>0</v>
      </c>
      <c r="AV64" s="6">
        <f>MAX(AV62-AV63,0)*INPUT!$C$78/100</f>
        <v>0</v>
      </c>
      <c r="AW64" s="6">
        <f>MAX(AW62-AW63,0)*INPUT!$C$78/100</f>
        <v>0</v>
      </c>
      <c r="AX64" s="6">
        <f>MAX(AX62-AX63,0)*INPUT!$C$78/100</f>
        <v>0</v>
      </c>
      <c r="AY64" s="6">
        <f>MAX(AY62-AY63,0)*INPUT!$C$78/100</f>
        <v>0</v>
      </c>
      <c r="AZ64" s="6">
        <f>MAX(AZ62-AZ63,0)*INPUT!$C$78/100</f>
        <v>0</v>
      </c>
      <c r="BA64" s="6">
        <f>MAX(BA62-BA63,0)*INPUT!$C$78/100</f>
        <v>0</v>
      </c>
      <c r="BB64" s="6">
        <f>MAX(BB62-BB63,0)*INPUT!$C$78/100</f>
        <v>0</v>
      </c>
      <c r="BC64" s="6">
        <f>MAX(BC62-BC63,0)*INPUT!$C$78/100</f>
        <v>0</v>
      </c>
      <c r="BD64" s="6">
        <f>MAX(BD62-BD63,0)*INPUT!$C$78/100</f>
        <v>0</v>
      </c>
      <c r="BE64" s="6">
        <f>MAX(BE62-BE63,0)*INPUT!$C$78/100</f>
        <v>0</v>
      </c>
      <c r="BF64" s="6">
        <f>MAX(BF62-BF63,0)*INPUT!$C$78/100</f>
        <v>0</v>
      </c>
      <c r="BG64" s="6">
        <f>MAX(BG62-BG63,0)*INPUT!$C$78/100</f>
        <v>0</v>
      </c>
      <c r="BH64" s="6">
        <f>MAX(BH62-BH63,0)*INPUT!$C$78/100</f>
        <v>0</v>
      </c>
      <c r="BI64" s="6">
        <f>MAX(BI62-BI63,0)*INPUT!$C$78/100</f>
        <v>0</v>
      </c>
      <c r="BJ64" s="6">
        <f>MAX(BJ62-BJ63,0)*INPUT!$C$78/100</f>
        <v>0</v>
      </c>
      <c r="BK64" s="6">
        <f>MAX(BK62-BK63,0)*INPUT!$C$78/100</f>
        <v>0</v>
      </c>
    </row>
    <row r="65" spans="2:63" x14ac:dyDescent="0.25">
      <c r="B65" s="1" t="s">
        <v>357</v>
      </c>
      <c r="D65" s="6">
        <f t="shared" ref="D65:AI65" si="19">D62-D64</f>
        <v>0</v>
      </c>
      <c r="E65" s="6">
        <f t="shared" si="19"/>
        <v>0</v>
      </c>
      <c r="F65" s="6">
        <f t="shared" si="19"/>
        <v>0</v>
      </c>
      <c r="G65" s="6">
        <f t="shared" si="19"/>
        <v>0</v>
      </c>
      <c r="H65" s="6">
        <f t="shared" si="19"/>
        <v>0</v>
      </c>
      <c r="I65" s="6">
        <f t="shared" si="19"/>
        <v>0</v>
      </c>
      <c r="J65" s="6">
        <f t="shared" si="19"/>
        <v>0</v>
      </c>
      <c r="K65" s="6">
        <f t="shared" si="19"/>
        <v>0</v>
      </c>
      <c r="L65" s="6">
        <f t="shared" si="19"/>
        <v>0</v>
      </c>
      <c r="M65" s="6">
        <f t="shared" si="19"/>
        <v>0</v>
      </c>
      <c r="N65" s="6">
        <f t="shared" si="19"/>
        <v>0</v>
      </c>
      <c r="O65" s="6">
        <f t="shared" si="19"/>
        <v>0</v>
      </c>
      <c r="P65" s="6">
        <f t="shared" si="19"/>
        <v>0</v>
      </c>
      <c r="Q65" s="6">
        <f t="shared" si="19"/>
        <v>0</v>
      </c>
      <c r="R65" s="6">
        <f t="shared" si="19"/>
        <v>0</v>
      </c>
      <c r="S65" s="6">
        <f t="shared" si="19"/>
        <v>0</v>
      </c>
      <c r="T65" s="6">
        <f t="shared" si="19"/>
        <v>0</v>
      </c>
      <c r="U65" s="6">
        <f t="shared" si="19"/>
        <v>0</v>
      </c>
      <c r="V65" s="6">
        <f t="shared" si="19"/>
        <v>0</v>
      </c>
      <c r="W65" s="6">
        <f t="shared" si="19"/>
        <v>0</v>
      </c>
      <c r="X65" s="6">
        <f t="shared" si="19"/>
        <v>0</v>
      </c>
      <c r="Y65" s="6">
        <f t="shared" si="19"/>
        <v>0</v>
      </c>
      <c r="Z65" s="6">
        <f t="shared" si="19"/>
        <v>0</v>
      </c>
      <c r="AA65" s="6">
        <f t="shared" si="19"/>
        <v>0</v>
      </c>
      <c r="AB65" s="6">
        <f t="shared" si="19"/>
        <v>0</v>
      </c>
      <c r="AC65" s="6">
        <f t="shared" si="19"/>
        <v>0</v>
      </c>
      <c r="AD65" s="6">
        <f t="shared" si="19"/>
        <v>0</v>
      </c>
      <c r="AE65" s="6">
        <f t="shared" si="19"/>
        <v>0</v>
      </c>
      <c r="AF65" s="6">
        <f t="shared" si="19"/>
        <v>0</v>
      </c>
      <c r="AG65" s="6">
        <f t="shared" si="19"/>
        <v>0</v>
      </c>
      <c r="AH65" s="6">
        <f t="shared" si="19"/>
        <v>0</v>
      </c>
      <c r="AI65" s="6">
        <f t="shared" si="19"/>
        <v>0</v>
      </c>
      <c r="AJ65" s="6">
        <f t="shared" ref="AJ65:BK65" si="20">AJ62-AJ64</f>
        <v>0</v>
      </c>
      <c r="AK65" s="6">
        <f t="shared" si="20"/>
        <v>0</v>
      </c>
      <c r="AL65" s="6">
        <f t="shared" si="20"/>
        <v>0</v>
      </c>
      <c r="AM65" s="6">
        <f t="shared" si="20"/>
        <v>0</v>
      </c>
      <c r="AN65" s="6">
        <f t="shared" si="20"/>
        <v>0</v>
      </c>
      <c r="AO65" s="6">
        <f t="shared" si="20"/>
        <v>0</v>
      </c>
      <c r="AP65" s="6">
        <f t="shared" si="20"/>
        <v>0</v>
      </c>
      <c r="AQ65" s="6">
        <f t="shared" si="20"/>
        <v>0</v>
      </c>
      <c r="AR65" s="6">
        <f t="shared" si="20"/>
        <v>0</v>
      </c>
      <c r="AS65" s="6">
        <f t="shared" si="20"/>
        <v>0</v>
      </c>
      <c r="AT65" s="6">
        <f t="shared" si="20"/>
        <v>0</v>
      </c>
      <c r="AU65" s="6">
        <f t="shared" si="20"/>
        <v>0</v>
      </c>
      <c r="AV65" s="6">
        <f t="shared" si="20"/>
        <v>0</v>
      </c>
      <c r="AW65" s="6">
        <f t="shared" si="20"/>
        <v>0</v>
      </c>
      <c r="AX65" s="6">
        <f t="shared" si="20"/>
        <v>0</v>
      </c>
      <c r="AY65" s="6">
        <f t="shared" si="20"/>
        <v>0</v>
      </c>
      <c r="AZ65" s="6">
        <f t="shared" si="20"/>
        <v>0</v>
      </c>
      <c r="BA65" s="6">
        <f t="shared" si="20"/>
        <v>0</v>
      </c>
      <c r="BB65" s="6">
        <f t="shared" si="20"/>
        <v>0</v>
      </c>
      <c r="BC65" s="6">
        <f t="shared" si="20"/>
        <v>0</v>
      </c>
      <c r="BD65" s="6">
        <f t="shared" si="20"/>
        <v>0</v>
      </c>
      <c r="BE65" s="6">
        <f t="shared" si="20"/>
        <v>0</v>
      </c>
      <c r="BF65" s="6">
        <f t="shared" si="20"/>
        <v>0</v>
      </c>
      <c r="BG65" s="6">
        <f t="shared" si="20"/>
        <v>0</v>
      </c>
      <c r="BH65" s="6">
        <f t="shared" si="20"/>
        <v>0</v>
      </c>
      <c r="BI65" s="6">
        <f t="shared" si="20"/>
        <v>0</v>
      </c>
      <c r="BJ65" s="6">
        <f t="shared" si="20"/>
        <v>0</v>
      </c>
      <c r="BK65" s="6">
        <f t="shared" si="20"/>
        <v>0</v>
      </c>
    </row>
    <row r="66" spans="2:63" x14ac:dyDescent="0.25">
      <c r="B66" s="1" t="s">
        <v>358</v>
      </c>
      <c r="D66" s="6">
        <f>IF(0&gt;=13,D62/(1+INPUT!$C$77/100)^(0-12),0)</f>
        <v>0</v>
      </c>
      <c r="E66" s="6">
        <f>IF(1&gt;=13,E62/(1+INPUT!$C$77/100)^(1-12),0)</f>
        <v>0</v>
      </c>
      <c r="F66" s="6">
        <f>IF(2&gt;=13,F62/(1+INPUT!$C$77/100)^(2-12),0)</f>
        <v>0</v>
      </c>
      <c r="G66" s="6">
        <f>IF(3&gt;=13,G62/(1+INPUT!$C$77/100)^(3-12),0)</f>
        <v>0</v>
      </c>
      <c r="H66" s="6">
        <f>IF(4&gt;=13,H62/(1+INPUT!$C$77/100)^(4-12),0)</f>
        <v>0</v>
      </c>
      <c r="I66" s="6">
        <f>IF(5&gt;=13,I62/(1+INPUT!$C$77/100)^(5-12),0)</f>
        <v>0</v>
      </c>
      <c r="J66" s="6">
        <f>IF(6&gt;=13,J62/(1+INPUT!$C$77/100)^(6-12),0)</f>
        <v>0</v>
      </c>
      <c r="K66" s="6">
        <f>IF(7&gt;=13,K62/(1+INPUT!$C$77/100)^(7-12),0)</f>
        <v>0</v>
      </c>
      <c r="L66" s="6">
        <f>IF(8&gt;=13,L62/(1+INPUT!$C$77/100)^(8-12),0)</f>
        <v>0</v>
      </c>
      <c r="M66" s="6">
        <f>IF(9&gt;=13,M62/(1+INPUT!$C$77/100)^(9-12),0)</f>
        <v>0</v>
      </c>
      <c r="N66" s="6">
        <f>IF(10&gt;=13,N62/(1+INPUT!$C$77/100)^(10-12),0)</f>
        <v>0</v>
      </c>
      <c r="O66" s="6">
        <f>IF(11&gt;=13,O62/(1+INPUT!$C$77/100)^(11-12),0)</f>
        <v>0</v>
      </c>
      <c r="P66" s="6">
        <f>IF(12&gt;=13,P62/(1+INPUT!$C$77/100)^(12-12),0)</f>
        <v>0</v>
      </c>
      <c r="Q66" s="6">
        <f>IF(13&gt;=13,Q62/(1+INPUT!$C$77/100)^(13-12),0)</f>
        <v>0</v>
      </c>
      <c r="R66" s="6">
        <f>IF(14&gt;=13,R62/(1+INPUT!$C$77/100)^(14-12),0)</f>
        <v>0</v>
      </c>
      <c r="S66" s="6">
        <f>IF(15&gt;=13,S62/(1+INPUT!$C$77/100)^(15-12),0)</f>
        <v>0</v>
      </c>
      <c r="T66" s="6">
        <f>IF(16&gt;=13,T62/(1+INPUT!$C$77/100)^(16-12),0)</f>
        <v>0</v>
      </c>
      <c r="U66" s="6">
        <f>IF(17&gt;=13,U62/(1+INPUT!$C$77/100)^(17-12),0)</f>
        <v>0</v>
      </c>
      <c r="V66" s="6">
        <f>IF(18&gt;=13,V62/(1+INPUT!$C$77/100)^(18-12),0)</f>
        <v>0</v>
      </c>
      <c r="W66" s="6">
        <f>IF(19&gt;=13,W62/(1+INPUT!$C$77/100)^(19-12),0)</f>
        <v>0</v>
      </c>
      <c r="X66" s="6">
        <f>IF(20&gt;=13,X62/(1+INPUT!$C$77/100)^(20-12),0)</f>
        <v>0</v>
      </c>
      <c r="Y66" s="6">
        <f>IF(21&gt;=13,Y62/(1+INPUT!$C$77/100)^(21-12),0)</f>
        <v>0</v>
      </c>
      <c r="Z66" s="6">
        <f>IF(22&gt;=13,Z62/(1+INPUT!$C$77/100)^(22-12),0)</f>
        <v>0</v>
      </c>
      <c r="AA66" s="6">
        <f>IF(23&gt;=13,AA62/(1+INPUT!$C$77/100)^(23-12),0)</f>
        <v>0</v>
      </c>
      <c r="AB66" s="6">
        <f>IF(24&gt;=13,AB62/(1+INPUT!$C$77/100)^(24-12),0)</f>
        <v>0</v>
      </c>
      <c r="AC66" s="6">
        <f>IF(25&gt;=13,AC62/(1+INPUT!$C$77/100)^(25-12),0)</f>
        <v>0</v>
      </c>
      <c r="AD66" s="6">
        <f>IF(26&gt;=13,AD62/(1+INPUT!$C$77/100)^(26-12),0)</f>
        <v>0</v>
      </c>
      <c r="AE66" s="6">
        <f>IF(27&gt;=13,AE62/(1+INPUT!$C$77/100)^(27-12),0)</f>
        <v>0</v>
      </c>
      <c r="AF66" s="6">
        <f>IF(28&gt;=13,AF62/(1+INPUT!$C$77/100)^(28-12),0)</f>
        <v>0</v>
      </c>
      <c r="AG66" s="6">
        <f>IF(29&gt;=13,AG62/(1+INPUT!$C$77/100)^(29-12),0)</f>
        <v>0</v>
      </c>
      <c r="AH66" s="6">
        <f>IF(30&gt;=13,AH62/(1+INPUT!$C$77/100)^(30-12),0)</f>
        <v>0</v>
      </c>
      <c r="AI66" s="6">
        <f>IF(31&gt;=13,AI62/(1+INPUT!$C$77/100)^(31-12),0)</f>
        <v>0</v>
      </c>
      <c r="AJ66" s="6">
        <f>IF(32&gt;=13,AJ62/(1+INPUT!$C$77/100)^(32-12),0)</f>
        <v>0</v>
      </c>
      <c r="AK66" s="6">
        <f>IF(33&gt;=13,AK62/(1+INPUT!$C$77/100)^(33-12),0)</f>
        <v>0</v>
      </c>
      <c r="AL66" s="6">
        <f>IF(34&gt;=13,AL62/(1+INPUT!$C$77/100)^(34-12),0)</f>
        <v>0</v>
      </c>
      <c r="AM66" s="6">
        <f>IF(35&gt;=13,AM62/(1+INPUT!$C$77/100)^(35-12),0)</f>
        <v>0</v>
      </c>
      <c r="AN66" s="6">
        <f>IF(36&gt;=13,AN62/(1+INPUT!$C$77/100)^(36-12),0)</f>
        <v>0</v>
      </c>
      <c r="AO66" s="6">
        <f>IF(37&gt;=13,AO62/(1+INPUT!$C$77/100)^(37-12),0)</f>
        <v>0</v>
      </c>
      <c r="AP66" s="6">
        <f>IF(38&gt;=13,AP62/(1+INPUT!$C$77/100)^(38-12),0)</f>
        <v>0</v>
      </c>
      <c r="AQ66" s="6">
        <f>IF(39&gt;=13,AQ62/(1+INPUT!$C$77/100)^(39-12),0)</f>
        <v>0</v>
      </c>
      <c r="AR66" s="6">
        <f>IF(40&gt;=13,AR62/(1+INPUT!$C$77/100)^(40-12),0)</f>
        <v>0</v>
      </c>
      <c r="AS66" s="6">
        <f>IF(41&gt;=13,AS62/(1+INPUT!$C$77/100)^(41-12),0)</f>
        <v>0</v>
      </c>
      <c r="AT66" s="6">
        <f>IF(42&gt;=13,AT62/(1+INPUT!$C$77/100)^(42-12),0)</f>
        <v>0</v>
      </c>
      <c r="AU66" s="6">
        <f>IF(43&gt;=13,AU62/(1+INPUT!$C$77/100)^(43-12),0)</f>
        <v>0</v>
      </c>
      <c r="AV66" s="6">
        <f>IF(44&gt;=13,AV62/(1+INPUT!$C$77/100)^(44-12),0)</f>
        <v>0</v>
      </c>
      <c r="AW66" s="6">
        <f>IF(45&gt;=13,AW62/(1+INPUT!$C$77/100)^(45-12),0)</f>
        <v>0</v>
      </c>
      <c r="AX66" s="6">
        <f>IF(46&gt;=13,AX62/(1+INPUT!$C$77/100)^(46-12),0)</f>
        <v>0</v>
      </c>
      <c r="AY66" s="6">
        <f>IF(47&gt;=13,AY62/(1+INPUT!$C$77/100)^(47-12),0)</f>
        <v>0</v>
      </c>
      <c r="AZ66" s="6">
        <f>IF(48&gt;=13,AZ62/(1+INPUT!$C$77/100)^(48-12),0)</f>
        <v>0</v>
      </c>
      <c r="BA66" s="6">
        <f>IF(49&gt;=13,BA62/(1+INPUT!$C$77/100)^(49-12),0)</f>
        <v>0</v>
      </c>
      <c r="BB66" s="6">
        <f>IF(50&gt;=13,BB62/(1+INPUT!$C$77/100)^(50-12),0)</f>
        <v>0</v>
      </c>
      <c r="BC66" s="6">
        <f>IF(51&gt;=13,BC62/(1+INPUT!$C$77/100)^(51-12),0)</f>
        <v>0</v>
      </c>
      <c r="BD66" s="6">
        <f>IF(52&gt;=13,BD62/(1+INPUT!$C$77/100)^(52-12),0)</f>
        <v>0</v>
      </c>
      <c r="BE66" s="6">
        <f>IF(53&gt;=13,BE62/(1+INPUT!$C$77/100)^(53-12),0)</f>
        <v>0</v>
      </c>
      <c r="BF66" s="6">
        <f>IF(54&gt;=13,BF62/(1+INPUT!$C$77/100)^(54-12),0)</f>
        <v>0</v>
      </c>
      <c r="BG66" s="6">
        <f>IF(55&gt;=13,BG62/(1+INPUT!$C$77/100)^(55-12),0)</f>
        <v>0</v>
      </c>
      <c r="BH66" s="6">
        <f>IF(56&gt;=13,BH62/(1+INPUT!$C$77/100)^(56-12),0)</f>
        <v>0</v>
      </c>
      <c r="BI66" s="6">
        <f>IF(57&gt;=13,BI62/(1+INPUT!$C$77/100)^(57-12),0)</f>
        <v>0</v>
      </c>
      <c r="BJ66" s="6">
        <f>IF(58&gt;=13,BJ62/(1+INPUT!$C$77/100)^(58-12),0)</f>
        <v>0</v>
      </c>
      <c r="BK66" s="6">
        <f>IF(59&gt;=13,BK62/(1+INPUT!$C$77/100)^(59-12),0)</f>
        <v>0</v>
      </c>
    </row>
    <row r="67" spans="2:63" x14ac:dyDescent="0.25">
      <c r="B67" s="4" t="s">
        <v>359</v>
      </c>
      <c r="C67" s="4" t="s">
        <v>1</v>
      </c>
      <c r="D67" s="4" t="s">
        <v>1</v>
      </c>
      <c r="E67" s="4" t="s">
        <v>1</v>
      </c>
      <c r="F67" s="4" t="s">
        <v>1</v>
      </c>
      <c r="G67" s="4" t="s">
        <v>1</v>
      </c>
      <c r="H67" s="4" t="s">
        <v>1</v>
      </c>
      <c r="I67" s="4" t="s">
        <v>1</v>
      </c>
      <c r="J67" s="4" t="s">
        <v>1</v>
      </c>
      <c r="K67" s="4" t="s">
        <v>1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 t="s">
        <v>1</v>
      </c>
      <c r="U67" s="4" t="s">
        <v>1</v>
      </c>
      <c r="V67" s="4" t="s">
        <v>1</v>
      </c>
      <c r="W67" s="4" t="s">
        <v>1</v>
      </c>
      <c r="X67" s="4" t="s">
        <v>1</v>
      </c>
      <c r="Y67" s="4" t="s">
        <v>1</v>
      </c>
      <c r="Z67" s="4" t="s">
        <v>1</v>
      </c>
      <c r="AA67" s="4" t="s">
        <v>1</v>
      </c>
      <c r="AB67" s="4" t="s">
        <v>1</v>
      </c>
      <c r="AC67" s="4" t="s">
        <v>1</v>
      </c>
      <c r="AD67" s="4" t="s">
        <v>1</v>
      </c>
      <c r="AE67" s="4" t="s">
        <v>1</v>
      </c>
      <c r="AF67" s="4" t="s">
        <v>1</v>
      </c>
      <c r="AG67" s="4" t="s">
        <v>1</v>
      </c>
      <c r="AH67" s="4" t="s">
        <v>1</v>
      </c>
      <c r="AI67" s="4" t="s">
        <v>1</v>
      </c>
      <c r="AJ67" s="4" t="s">
        <v>1</v>
      </c>
      <c r="AK67" s="4" t="s">
        <v>1</v>
      </c>
      <c r="AL67" s="4" t="s">
        <v>1</v>
      </c>
      <c r="AM67" s="4" t="s">
        <v>1</v>
      </c>
      <c r="AN67" s="4" t="s">
        <v>1</v>
      </c>
      <c r="AO67" s="4" t="s">
        <v>1</v>
      </c>
      <c r="AP67" s="4" t="s">
        <v>1</v>
      </c>
      <c r="AQ67" s="4" t="s">
        <v>1</v>
      </c>
      <c r="AR67" s="4" t="s">
        <v>1</v>
      </c>
      <c r="AS67" s="4" t="s">
        <v>1</v>
      </c>
      <c r="AT67" s="4" t="s">
        <v>1</v>
      </c>
      <c r="AU67" s="4" t="s">
        <v>1</v>
      </c>
      <c r="AV67" s="4" t="s">
        <v>1</v>
      </c>
      <c r="AW67" s="4" t="s">
        <v>1</v>
      </c>
      <c r="AX67" s="4" t="s">
        <v>1</v>
      </c>
      <c r="AY67" s="4" t="s">
        <v>1</v>
      </c>
      <c r="AZ67" s="4" t="s">
        <v>1</v>
      </c>
      <c r="BA67" s="4" t="s">
        <v>1</v>
      </c>
      <c r="BB67" s="4" t="s">
        <v>1</v>
      </c>
      <c r="BC67" s="4" t="s">
        <v>1</v>
      </c>
      <c r="BD67" s="4" t="s">
        <v>1</v>
      </c>
      <c r="BE67" s="4" t="s">
        <v>1</v>
      </c>
      <c r="BF67" s="4" t="s">
        <v>1</v>
      </c>
      <c r="BG67" s="4" t="s">
        <v>1</v>
      </c>
      <c r="BH67" s="4" t="s">
        <v>1</v>
      </c>
      <c r="BI67" s="4" t="s">
        <v>1</v>
      </c>
      <c r="BJ67" s="4" t="s">
        <v>1</v>
      </c>
      <c r="BK67" s="4" t="s">
        <v>1</v>
      </c>
    </row>
    <row r="68" spans="2:63" x14ac:dyDescent="0.25">
      <c r="B68" s="1" t="s">
        <v>360</v>
      </c>
      <c r="D68" s="6">
        <f t="shared" ref="D68:AI68" si="21">IF($C$136&gt;0,$C$146*D11/$C$136,0)</f>
        <v>0</v>
      </c>
      <c r="E68" s="6">
        <f t="shared" si="21"/>
        <v>0</v>
      </c>
      <c r="F68" s="6">
        <f t="shared" si="21"/>
        <v>-5435488874.9534569</v>
      </c>
      <c r="G68" s="6">
        <f t="shared" si="21"/>
        <v>-29849893071.619404</v>
      </c>
      <c r="H68" s="6">
        <f t="shared" si="21"/>
        <v>-11844836173.336075</v>
      </c>
      <c r="I68" s="6">
        <f t="shared" si="21"/>
        <v>0</v>
      </c>
      <c r="J68" s="6">
        <f t="shared" si="21"/>
        <v>0</v>
      </c>
      <c r="K68" s="6">
        <f t="shared" si="21"/>
        <v>0</v>
      </c>
      <c r="L68" s="6">
        <f t="shared" si="21"/>
        <v>0</v>
      </c>
      <c r="M68" s="6">
        <f t="shared" si="21"/>
        <v>0</v>
      </c>
      <c r="N68" s="6">
        <f t="shared" si="21"/>
        <v>0</v>
      </c>
      <c r="O68" s="6">
        <f t="shared" si="21"/>
        <v>0</v>
      </c>
      <c r="P68" s="6">
        <f t="shared" si="21"/>
        <v>0</v>
      </c>
      <c r="Q68" s="6">
        <f t="shared" si="21"/>
        <v>0</v>
      </c>
      <c r="R68" s="6">
        <f t="shared" si="21"/>
        <v>0</v>
      </c>
      <c r="S68" s="6">
        <f t="shared" si="21"/>
        <v>0</v>
      </c>
      <c r="T68" s="6">
        <f t="shared" si="21"/>
        <v>0</v>
      </c>
      <c r="U68" s="6">
        <f t="shared" si="21"/>
        <v>0</v>
      </c>
      <c r="V68" s="6">
        <f t="shared" si="21"/>
        <v>0</v>
      </c>
      <c r="W68" s="6">
        <f t="shared" si="21"/>
        <v>0</v>
      </c>
      <c r="X68" s="6">
        <f t="shared" si="21"/>
        <v>0</v>
      </c>
      <c r="Y68" s="6">
        <f t="shared" si="21"/>
        <v>0</v>
      </c>
      <c r="Z68" s="6">
        <f t="shared" si="21"/>
        <v>0</v>
      </c>
      <c r="AA68" s="6">
        <f t="shared" si="21"/>
        <v>0</v>
      </c>
      <c r="AB68" s="6">
        <f t="shared" si="21"/>
        <v>0</v>
      </c>
      <c r="AC68" s="6">
        <f t="shared" si="21"/>
        <v>0</v>
      </c>
      <c r="AD68" s="6">
        <f t="shared" si="21"/>
        <v>0</v>
      </c>
      <c r="AE68" s="6">
        <f t="shared" si="21"/>
        <v>0</v>
      </c>
      <c r="AF68" s="6">
        <f t="shared" si="21"/>
        <v>0</v>
      </c>
      <c r="AG68" s="6">
        <f t="shared" si="21"/>
        <v>0</v>
      </c>
      <c r="AH68" s="6">
        <f t="shared" si="21"/>
        <v>0</v>
      </c>
      <c r="AI68" s="6">
        <f t="shared" si="21"/>
        <v>0</v>
      </c>
      <c r="AJ68" s="6">
        <f t="shared" ref="AJ68:BK68" si="22">IF($C$136&gt;0,$C$146*AJ11/$C$136,0)</f>
        <v>0</v>
      </c>
      <c r="AK68" s="6">
        <f t="shared" si="22"/>
        <v>0</v>
      </c>
      <c r="AL68" s="6">
        <f t="shared" si="22"/>
        <v>0</v>
      </c>
      <c r="AM68" s="6">
        <f t="shared" si="22"/>
        <v>0</v>
      </c>
      <c r="AN68" s="6">
        <f t="shared" si="22"/>
        <v>0</v>
      </c>
      <c r="AO68" s="6">
        <f t="shared" si="22"/>
        <v>0</v>
      </c>
      <c r="AP68" s="6">
        <f t="shared" si="22"/>
        <v>0</v>
      </c>
      <c r="AQ68" s="6">
        <f t="shared" si="22"/>
        <v>0</v>
      </c>
      <c r="AR68" s="6">
        <f t="shared" si="22"/>
        <v>0</v>
      </c>
      <c r="AS68" s="6">
        <f t="shared" si="22"/>
        <v>0</v>
      </c>
      <c r="AT68" s="6">
        <f t="shared" si="22"/>
        <v>0</v>
      </c>
      <c r="AU68" s="6">
        <f t="shared" si="22"/>
        <v>0</v>
      </c>
      <c r="AV68" s="6">
        <f t="shared" si="22"/>
        <v>0</v>
      </c>
      <c r="AW68" s="6">
        <f t="shared" si="22"/>
        <v>0</v>
      </c>
      <c r="AX68" s="6">
        <f t="shared" si="22"/>
        <v>0</v>
      </c>
      <c r="AY68" s="6">
        <f t="shared" si="22"/>
        <v>0</v>
      </c>
      <c r="AZ68" s="6">
        <f t="shared" si="22"/>
        <v>0</v>
      </c>
      <c r="BA68" s="6">
        <f t="shared" si="22"/>
        <v>0</v>
      </c>
      <c r="BB68" s="6">
        <f t="shared" si="22"/>
        <v>0</v>
      </c>
      <c r="BC68" s="6">
        <f t="shared" si="22"/>
        <v>0</v>
      </c>
      <c r="BD68" s="6">
        <f t="shared" si="22"/>
        <v>0</v>
      </c>
      <c r="BE68" s="6">
        <f t="shared" si="22"/>
        <v>0</v>
      </c>
      <c r="BF68" s="6">
        <f t="shared" si="22"/>
        <v>0</v>
      </c>
      <c r="BG68" s="6">
        <f t="shared" si="22"/>
        <v>0</v>
      </c>
      <c r="BH68" s="6">
        <f t="shared" si="22"/>
        <v>0</v>
      </c>
      <c r="BI68" s="6">
        <f t="shared" si="22"/>
        <v>0</v>
      </c>
      <c r="BJ68" s="6">
        <f t="shared" si="22"/>
        <v>0</v>
      </c>
      <c r="BK68" s="6">
        <f t="shared" si="22"/>
        <v>0</v>
      </c>
    </row>
    <row r="69" spans="2:63" x14ac:dyDescent="0.25">
      <c r="B69" s="1" t="s">
        <v>361</v>
      </c>
      <c r="D69" s="6">
        <f t="shared" ref="D69:AI69" si="23">D62-D63</f>
        <v>0</v>
      </c>
      <c r="E69" s="6">
        <f t="shared" si="23"/>
        <v>0</v>
      </c>
      <c r="F69" s="6">
        <f t="shared" si="23"/>
        <v>0</v>
      </c>
      <c r="G69" s="6">
        <f t="shared" si="23"/>
        <v>0</v>
      </c>
      <c r="H69" s="6">
        <f t="shared" si="23"/>
        <v>0</v>
      </c>
      <c r="I69" s="6">
        <f t="shared" si="23"/>
        <v>0</v>
      </c>
      <c r="J69" s="6">
        <f t="shared" si="23"/>
        <v>0</v>
      </c>
      <c r="K69" s="6">
        <f t="shared" si="23"/>
        <v>0</v>
      </c>
      <c r="L69" s="6">
        <f t="shared" si="23"/>
        <v>0</v>
      </c>
      <c r="M69" s="6">
        <f t="shared" si="23"/>
        <v>0</v>
      </c>
      <c r="N69" s="6">
        <f t="shared" si="23"/>
        <v>0</v>
      </c>
      <c r="O69" s="6">
        <f t="shared" si="23"/>
        <v>0</v>
      </c>
      <c r="P69" s="6">
        <f t="shared" si="23"/>
        <v>0</v>
      </c>
      <c r="Q69" s="6">
        <f t="shared" si="23"/>
        <v>0</v>
      </c>
      <c r="R69" s="6">
        <f t="shared" si="23"/>
        <v>0</v>
      </c>
      <c r="S69" s="6">
        <f t="shared" si="23"/>
        <v>0</v>
      </c>
      <c r="T69" s="6">
        <f t="shared" si="23"/>
        <v>0</v>
      </c>
      <c r="U69" s="6">
        <f t="shared" si="23"/>
        <v>0</v>
      </c>
      <c r="V69" s="6">
        <f t="shared" si="23"/>
        <v>0</v>
      </c>
      <c r="W69" s="6">
        <f t="shared" si="23"/>
        <v>0</v>
      </c>
      <c r="X69" s="6">
        <f t="shared" si="23"/>
        <v>0</v>
      </c>
      <c r="Y69" s="6">
        <f t="shared" si="23"/>
        <v>0</v>
      </c>
      <c r="Z69" s="6">
        <f t="shared" si="23"/>
        <v>0</v>
      </c>
      <c r="AA69" s="6">
        <f t="shared" si="23"/>
        <v>0</v>
      </c>
      <c r="AB69" s="6">
        <f t="shared" si="23"/>
        <v>0</v>
      </c>
      <c r="AC69" s="6">
        <f t="shared" si="23"/>
        <v>0</v>
      </c>
      <c r="AD69" s="6">
        <f t="shared" si="23"/>
        <v>0</v>
      </c>
      <c r="AE69" s="6">
        <f t="shared" si="23"/>
        <v>0</v>
      </c>
      <c r="AF69" s="6">
        <f t="shared" si="23"/>
        <v>0</v>
      </c>
      <c r="AG69" s="6">
        <f t="shared" si="23"/>
        <v>0</v>
      </c>
      <c r="AH69" s="6">
        <f t="shared" si="23"/>
        <v>0</v>
      </c>
      <c r="AI69" s="6">
        <f t="shared" si="23"/>
        <v>0</v>
      </c>
      <c r="AJ69" s="6">
        <f t="shared" ref="AJ69:BK69" si="24">AJ62-AJ63</f>
        <v>0</v>
      </c>
      <c r="AK69" s="6">
        <f t="shared" si="24"/>
        <v>0</v>
      </c>
      <c r="AL69" s="6">
        <f t="shared" si="24"/>
        <v>0</v>
      </c>
      <c r="AM69" s="6">
        <f t="shared" si="24"/>
        <v>0</v>
      </c>
      <c r="AN69" s="6">
        <f t="shared" si="24"/>
        <v>0</v>
      </c>
      <c r="AO69" s="6">
        <f t="shared" si="24"/>
        <v>0</v>
      </c>
      <c r="AP69" s="6">
        <f t="shared" si="24"/>
        <v>0</v>
      </c>
      <c r="AQ69" s="6">
        <f t="shared" si="24"/>
        <v>0</v>
      </c>
      <c r="AR69" s="6">
        <f t="shared" si="24"/>
        <v>0</v>
      </c>
      <c r="AS69" s="6">
        <f t="shared" si="24"/>
        <v>0</v>
      </c>
      <c r="AT69" s="6">
        <f t="shared" si="24"/>
        <v>0</v>
      </c>
      <c r="AU69" s="6">
        <f t="shared" si="24"/>
        <v>0</v>
      </c>
      <c r="AV69" s="6">
        <f t="shared" si="24"/>
        <v>0</v>
      </c>
      <c r="AW69" s="6">
        <f t="shared" si="24"/>
        <v>0</v>
      </c>
      <c r="AX69" s="6">
        <f t="shared" si="24"/>
        <v>0</v>
      </c>
      <c r="AY69" s="6">
        <f t="shared" si="24"/>
        <v>0</v>
      </c>
      <c r="AZ69" s="6">
        <f t="shared" si="24"/>
        <v>0</v>
      </c>
      <c r="BA69" s="6">
        <f t="shared" si="24"/>
        <v>0</v>
      </c>
      <c r="BB69" s="6">
        <f t="shared" si="24"/>
        <v>0</v>
      </c>
      <c r="BC69" s="6">
        <f t="shared" si="24"/>
        <v>0</v>
      </c>
      <c r="BD69" s="6">
        <f t="shared" si="24"/>
        <v>0</v>
      </c>
      <c r="BE69" s="6">
        <f t="shared" si="24"/>
        <v>0</v>
      </c>
      <c r="BF69" s="6">
        <f t="shared" si="24"/>
        <v>0</v>
      </c>
      <c r="BG69" s="6">
        <f t="shared" si="24"/>
        <v>0</v>
      </c>
      <c r="BH69" s="6">
        <f t="shared" si="24"/>
        <v>0</v>
      </c>
      <c r="BI69" s="6">
        <f t="shared" si="24"/>
        <v>0</v>
      </c>
      <c r="BJ69" s="6">
        <f t="shared" si="24"/>
        <v>0</v>
      </c>
      <c r="BK69" s="6">
        <f t="shared" si="24"/>
        <v>0</v>
      </c>
    </row>
    <row r="70" spans="2:63" x14ac:dyDescent="0.25">
      <c r="B70" s="1" t="s">
        <v>362</v>
      </c>
      <c r="D70" s="6">
        <f t="shared" ref="D70:AI70" si="25">D68+D69</f>
        <v>0</v>
      </c>
      <c r="E70" s="6">
        <f t="shared" si="25"/>
        <v>0</v>
      </c>
      <c r="F70" s="6">
        <f t="shared" si="25"/>
        <v>-5435488874.9534569</v>
      </c>
      <c r="G70" s="6">
        <f t="shared" si="25"/>
        <v>-29849893071.619404</v>
      </c>
      <c r="H70" s="6">
        <f t="shared" si="25"/>
        <v>-11844836173.336075</v>
      </c>
      <c r="I70" s="6">
        <f t="shared" si="25"/>
        <v>0</v>
      </c>
      <c r="J70" s="6">
        <f t="shared" si="25"/>
        <v>0</v>
      </c>
      <c r="K70" s="6">
        <f t="shared" si="25"/>
        <v>0</v>
      </c>
      <c r="L70" s="6">
        <f t="shared" si="25"/>
        <v>0</v>
      </c>
      <c r="M70" s="6">
        <f t="shared" si="25"/>
        <v>0</v>
      </c>
      <c r="N70" s="6">
        <f t="shared" si="25"/>
        <v>0</v>
      </c>
      <c r="O70" s="6">
        <f t="shared" si="25"/>
        <v>0</v>
      </c>
      <c r="P70" s="6">
        <f t="shared" si="25"/>
        <v>0</v>
      </c>
      <c r="Q70" s="6">
        <f t="shared" si="25"/>
        <v>0</v>
      </c>
      <c r="R70" s="6">
        <f t="shared" si="25"/>
        <v>0</v>
      </c>
      <c r="S70" s="6">
        <f t="shared" si="25"/>
        <v>0</v>
      </c>
      <c r="T70" s="6">
        <f t="shared" si="25"/>
        <v>0</v>
      </c>
      <c r="U70" s="6">
        <f t="shared" si="25"/>
        <v>0</v>
      </c>
      <c r="V70" s="6">
        <f t="shared" si="25"/>
        <v>0</v>
      </c>
      <c r="W70" s="6">
        <f t="shared" si="25"/>
        <v>0</v>
      </c>
      <c r="X70" s="6">
        <f t="shared" si="25"/>
        <v>0</v>
      </c>
      <c r="Y70" s="6">
        <f t="shared" si="25"/>
        <v>0</v>
      </c>
      <c r="Z70" s="6">
        <f t="shared" si="25"/>
        <v>0</v>
      </c>
      <c r="AA70" s="6">
        <f t="shared" si="25"/>
        <v>0</v>
      </c>
      <c r="AB70" s="6">
        <f t="shared" si="25"/>
        <v>0</v>
      </c>
      <c r="AC70" s="6">
        <f t="shared" si="25"/>
        <v>0</v>
      </c>
      <c r="AD70" s="6">
        <f t="shared" si="25"/>
        <v>0</v>
      </c>
      <c r="AE70" s="6">
        <f t="shared" si="25"/>
        <v>0</v>
      </c>
      <c r="AF70" s="6">
        <f t="shared" si="25"/>
        <v>0</v>
      </c>
      <c r="AG70" s="6">
        <f t="shared" si="25"/>
        <v>0</v>
      </c>
      <c r="AH70" s="6">
        <f t="shared" si="25"/>
        <v>0</v>
      </c>
      <c r="AI70" s="6">
        <f t="shared" si="25"/>
        <v>0</v>
      </c>
      <c r="AJ70" s="6">
        <f t="shared" ref="AJ70:BK70" si="26">AJ68+AJ69</f>
        <v>0</v>
      </c>
      <c r="AK70" s="6">
        <f t="shared" si="26"/>
        <v>0</v>
      </c>
      <c r="AL70" s="6">
        <f t="shared" si="26"/>
        <v>0</v>
      </c>
      <c r="AM70" s="6">
        <f t="shared" si="26"/>
        <v>0</v>
      </c>
      <c r="AN70" s="6">
        <f t="shared" si="26"/>
        <v>0</v>
      </c>
      <c r="AO70" s="6">
        <f t="shared" si="26"/>
        <v>0</v>
      </c>
      <c r="AP70" s="6">
        <f t="shared" si="26"/>
        <v>0</v>
      </c>
      <c r="AQ70" s="6">
        <f t="shared" si="26"/>
        <v>0</v>
      </c>
      <c r="AR70" s="6">
        <f t="shared" si="26"/>
        <v>0</v>
      </c>
      <c r="AS70" s="6">
        <f t="shared" si="26"/>
        <v>0</v>
      </c>
      <c r="AT70" s="6">
        <f t="shared" si="26"/>
        <v>0</v>
      </c>
      <c r="AU70" s="6">
        <f t="shared" si="26"/>
        <v>0</v>
      </c>
      <c r="AV70" s="6">
        <f t="shared" si="26"/>
        <v>0</v>
      </c>
      <c r="AW70" s="6">
        <f t="shared" si="26"/>
        <v>0</v>
      </c>
      <c r="AX70" s="6">
        <f t="shared" si="26"/>
        <v>0</v>
      </c>
      <c r="AY70" s="6">
        <f t="shared" si="26"/>
        <v>0</v>
      </c>
      <c r="AZ70" s="6">
        <f t="shared" si="26"/>
        <v>0</v>
      </c>
      <c r="BA70" s="6">
        <f t="shared" si="26"/>
        <v>0</v>
      </c>
      <c r="BB70" s="6">
        <f t="shared" si="26"/>
        <v>0</v>
      </c>
      <c r="BC70" s="6">
        <f t="shared" si="26"/>
        <v>0</v>
      </c>
      <c r="BD70" s="6">
        <f t="shared" si="26"/>
        <v>0</v>
      </c>
      <c r="BE70" s="6">
        <f t="shared" si="26"/>
        <v>0</v>
      </c>
      <c r="BF70" s="6">
        <f t="shared" si="26"/>
        <v>0</v>
      </c>
      <c r="BG70" s="6">
        <f t="shared" si="26"/>
        <v>0</v>
      </c>
      <c r="BH70" s="6">
        <f t="shared" si="26"/>
        <v>0</v>
      </c>
      <c r="BI70" s="6">
        <f t="shared" si="26"/>
        <v>0</v>
      </c>
      <c r="BJ70" s="6">
        <f t="shared" si="26"/>
        <v>0</v>
      </c>
      <c r="BK70" s="6">
        <f t="shared" si="26"/>
        <v>0</v>
      </c>
    </row>
    <row r="71" spans="2:63" x14ac:dyDescent="0.25">
      <c r="B71" s="1" t="s">
        <v>363</v>
      </c>
      <c r="D71" s="6">
        <v>0</v>
      </c>
      <c r="E71" s="6">
        <f t="shared" ref="E71:AJ71" si="27">D83</f>
        <v>0</v>
      </c>
      <c r="F71" s="6">
        <f t="shared" si="27"/>
        <v>0</v>
      </c>
      <c r="G71" s="6">
        <f t="shared" si="27"/>
        <v>5435488874.9534569</v>
      </c>
      <c r="H71" s="6">
        <f t="shared" si="27"/>
        <v>29849893071.619404</v>
      </c>
      <c r="I71" s="6">
        <f t="shared" si="27"/>
        <v>11844836173.336075</v>
      </c>
      <c r="J71" s="6">
        <f t="shared" si="27"/>
        <v>0</v>
      </c>
      <c r="K71" s="6">
        <f t="shared" si="27"/>
        <v>0</v>
      </c>
      <c r="L71" s="6">
        <f t="shared" si="27"/>
        <v>0</v>
      </c>
      <c r="M71" s="6">
        <f t="shared" si="27"/>
        <v>0</v>
      </c>
      <c r="N71" s="6">
        <f t="shared" si="27"/>
        <v>0</v>
      </c>
      <c r="O71" s="6">
        <f t="shared" si="27"/>
        <v>0</v>
      </c>
      <c r="P71" s="6">
        <f t="shared" si="27"/>
        <v>0</v>
      </c>
      <c r="Q71" s="6">
        <f t="shared" si="27"/>
        <v>0</v>
      </c>
      <c r="R71" s="6">
        <f t="shared" si="27"/>
        <v>0</v>
      </c>
      <c r="S71" s="6">
        <f t="shared" si="27"/>
        <v>0</v>
      </c>
      <c r="T71" s="6">
        <f t="shared" si="27"/>
        <v>0</v>
      </c>
      <c r="U71" s="6">
        <f t="shared" si="27"/>
        <v>0</v>
      </c>
      <c r="V71" s="6">
        <f t="shared" si="27"/>
        <v>0</v>
      </c>
      <c r="W71" s="6">
        <f t="shared" si="27"/>
        <v>0</v>
      </c>
      <c r="X71" s="6">
        <f t="shared" si="27"/>
        <v>0</v>
      </c>
      <c r="Y71" s="6">
        <f t="shared" si="27"/>
        <v>0</v>
      </c>
      <c r="Z71" s="6">
        <f t="shared" si="27"/>
        <v>0</v>
      </c>
      <c r="AA71" s="6">
        <f t="shared" si="27"/>
        <v>0</v>
      </c>
      <c r="AB71" s="6">
        <f t="shared" si="27"/>
        <v>0</v>
      </c>
      <c r="AC71" s="6">
        <f t="shared" si="27"/>
        <v>0</v>
      </c>
      <c r="AD71" s="6">
        <f t="shared" si="27"/>
        <v>0</v>
      </c>
      <c r="AE71" s="6">
        <f t="shared" si="27"/>
        <v>0</v>
      </c>
      <c r="AF71" s="6">
        <f t="shared" si="27"/>
        <v>0</v>
      </c>
      <c r="AG71" s="6">
        <f t="shared" si="27"/>
        <v>0</v>
      </c>
      <c r="AH71" s="6">
        <f t="shared" si="27"/>
        <v>0</v>
      </c>
      <c r="AI71" s="6">
        <f t="shared" si="27"/>
        <v>0</v>
      </c>
      <c r="AJ71" s="6">
        <f t="shared" si="27"/>
        <v>0</v>
      </c>
      <c r="AK71" s="6">
        <f t="shared" ref="AK71:BK71" si="28">AJ83</f>
        <v>0</v>
      </c>
      <c r="AL71" s="6">
        <f t="shared" si="28"/>
        <v>0</v>
      </c>
      <c r="AM71" s="6">
        <f t="shared" si="28"/>
        <v>0</v>
      </c>
      <c r="AN71" s="6">
        <f t="shared" si="28"/>
        <v>0</v>
      </c>
      <c r="AO71" s="6">
        <f t="shared" si="28"/>
        <v>0</v>
      </c>
      <c r="AP71" s="6">
        <f t="shared" si="28"/>
        <v>0</v>
      </c>
      <c r="AQ71" s="6">
        <f t="shared" si="28"/>
        <v>0</v>
      </c>
      <c r="AR71" s="6">
        <f t="shared" si="28"/>
        <v>0</v>
      </c>
      <c r="AS71" s="6">
        <f t="shared" si="28"/>
        <v>0</v>
      </c>
      <c r="AT71" s="6">
        <f t="shared" si="28"/>
        <v>0</v>
      </c>
      <c r="AU71" s="6">
        <f t="shared" si="28"/>
        <v>0</v>
      </c>
      <c r="AV71" s="6">
        <f t="shared" si="28"/>
        <v>0</v>
      </c>
      <c r="AW71" s="6">
        <f t="shared" si="28"/>
        <v>0</v>
      </c>
      <c r="AX71" s="6">
        <f t="shared" si="28"/>
        <v>0</v>
      </c>
      <c r="AY71" s="6">
        <f t="shared" si="28"/>
        <v>0</v>
      </c>
      <c r="AZ71" s="6">
        <f t="shared" si="28"/>
        <v>0</v>
      </c>
      <c r="BA71" s="6">
        <f t="shared" si="28"/>
        <v>0</v>
      </c>
      <c r="BB71" s="6">
        <f t="shared" si="28"/>
        <v>0</v>
      </c>
      <c r="BC71" s="6">
        <f t="shared" si="28"/>
        <v>0</v>
      </c>
      <c r="BD71" s="6">
        <f t="shared" si="28"/>
        <v>0</v>
      </c>
      <c r="BE71" s="6">
        <f t="shared" si="28"/>
        <v>0</v>
      </c>
      <c r="BF71" s="6">
        <f t="shared" si="28"/>
        <v>0</v>
      </c>
      <c r="BG71" s="6">
        <f t="shared" si="28"/>
        <v>0</v>
      </c>
      <c r="BH71" s="6">
        <f t="shared" si="28"/>
        <v>0</v>
      </c>
      <c r="BI71" s="6">
        <f t="shared" si="28"/>
        <v>0</v>
      </c>
      <c r="BJ71" s="6">
        <f t="shared" si="28"/>
        <v>0</v>
      </c>
      <c r="BK71" s="6">
        <f t="shared" si="28"/>
        <v>0</v>
      </c>
    </row>
    <row r="72" spans="2:63" x14ac:dyDescent="0.25">
      <c r="B72" s="1" t="s">
        <v>364</v>
      </c>
      <c r="D72" s="6">
        <v>0</v>
      </c>
      <c r="E72" s="6">
        <f t="shared" ref="E72:AJ72" si="29">D71-D81</f>
        <v>0</v>
      </c>
      <c r="F72" s="6">
        <f t="shared" si="29"/>
        <v>0</v>
      </c>
      <c r="G72" s="6">
        <f t="shared" si="29"/>
        <v>0</v>
      </c>
      <c r="H72" s="6">
        <f t="shared" si="29"/>
        <v>5435488874.9534569</v>
      </c>
      <c r="I72" s="6">
        <f t="shared" si="29"/>
        <v>29849893071.619404</v>
      </c>
      <c r="J72" s="6">
        <f t="shared" si="29"/>
        <v>11844836173.336075</v>
      </c>
      <c r="K72" s="6">
        <f t="shared" si="29"/>
        <v>0</v>
      </c>
      <c r="L72" s="6">
        <f t="shared" si="29"/>
        <v>0</v>
      </c>
      <c r="M72" s="6">
        <f t="shared" si="29"/>
        <v>0</v>
      </c>
      <c r="N72" s="6">
        <f t="shared" si="29"/>
        <v>0</v>
      </c>
      <c r="O72" s="6">
        <f t="shared" si="29"/>
        <v>0</v>
      </c>
      <c r="P72" s="6">
        <f t="shared" si="29"/>
        <v>0</v>
      </c>
      <c r="Q72" s="6">
        <f t="shared" si="29"/>
        <v>0</v>
      </c>
      <c r="R72" s="6">
        <f t="shared" si="29"/>
        <v>0</v>
      </c>
      <c r="S72" s="6">
        <f t="shared" si="29"/>
        <v>0</v>
      </c>
      <c r="T72" s="6">
        <f t="shared" si="29"/>
        <v>0</v>
      </c>
      <c r="U72" s="6">
        <f t="shared" si="29"/>
        <v>0</v>
      </c>
      <c r="V72" s="6">
        <f t="shared" si="29"/>
        <v>0</v>
      </c>
      <c r="W72" s="6">
        <f t="shared" si="29"/>
        <v>0</v>
      </c>
      <c r="X72" s="6">
        <f t="shared" si="29"/>
        <v>0</v>
      </c>
      <c r="Y72" s="6">
        <f t="shared" si="29"/>
        <v>0</v>
      </c>
      <c r="Z72" s="6">
        <f t="shared" si="29"/>
        <v>0</v>
      </c>
      <c r="AA72" s="6">
        <f t="shared" si="29"/>
        <v>0</v>
      </c>
      <c r="AB72" s="6">
        <f t="shared" si="29"/>
        <v>0</v>
      </c>
      <c r="AC72" s="6">
        <f t="shared" si="29"/>
        <v>0</v>
      </c>
      <c r="AD72" s="6">
        <f t="shared" si="29"/>
        <v>0</v>
      </c>
      <c r="AE72" s="6">
        <f t="shared" si="29"/>
        <v>0</v>
      </c>
      <c r="AF72" s="6">
        <f t="shared" si="29"/>
        <v>0</v>
      </c>
      <c r="AG72" s="6">
        <f t="shared" si="29"/>
        <v>0</v>
      </c>
      <c r="AH72" s="6">
        <f t="shared" si="29"/>
        <v>0</v>
      </c>
      <c r="AI72" s="6">
        <f t="shared" si="29"/>
        <v>0</v>
      </c>
      <c r="AJ72" s="6">
        <f t="shared" si="29"/>
        <v>0</v>
      </c>
      <c r="AK72" s="6">
        <f t="shared" ref="AK72:BK72" si="30">AJ71-AJ81</f>
        <v>0</v>
      </c>
      <c r="AL72" s="6">
        <f t="shared" si="30"/>
        <v>0</v>
      </c>
      <c r="AM72" s="6">
        <f t="shared" si="30"/>
        <v>0</v>
      </c>
      <c r="AN72" s="6">
        <f t="shared" si="30"/>
        <v>0</v>
      </c>
      <c r="AO72" s="6">
        <f t="shared" si="30"/>
        <v>0</v>
      </c>
      <c r="AP72" s="6">
        <f t="shared" si="30"/>
        <v>0</v>
      </c>
      <c r="AQ72" s="6">
        <f t="shared" si="30"/>
        <v>0</v>
      </c>
      <c r="AR72" s="6">
        <f t="shared" si="30"/>
        <v>0</v>
      </c>
      <c r="AS72" s="6">
        <f t="shared" si="30"/>
        <v>0</v>
      </c>
      <c r="AT72" s="6">
        <f t="shared" si="30"/>
        <v>0</v>
      </c>
      <c r="AU72" s="6">
        <f t="shared" si="30"/>
        <v>0</v>
      </c>
      <c r="AV72" s="6">
        <f t="shared" si="30"/>
        <v>0</v>
      </c>
      <c r="AW72" s="6">
        <f t="shared" si="30"/>
        <v>0</v>
      </c>
      <c r="AX72" s="6">
        <f t="shared" si="30"/>
        <v>0</v>
      </c>
      <c r="AY72" s="6">
        <f t="shared" si="30"/>
        <v>0</v>
      </c>
      <c r="AZ72" s="6">
        <f t="shared" si="30"/>
        <v>0</v>
      </c>
      <c r="BA72" s="6">
        <f t="shared" si="30"/>
        <v>0</v>
      </c>
      <c r="BB72" s="6">
        <f t="shared" si="30"/>
        <v>0</v>
      </c>
      <c r="BC72" s="6">
        <f t="shared" si="30"/>
        <v>0</v>
      </c>
      <c r="BD72" s="6">
        <f t="shared" si="30"/>
        <v>0</v>
      </c>
      <c r="BE72" s="6">
        <f t="shared" si="30"/>
        <v>0</v>
      </c>
      <c r="BF72" s="6">
        <f t="shared" si="30"/>
        <v>0</v>
      </c>
      <c r="BG72" s="6">
        <f t="shared" si="30"/>
        <v>0</v>
      </c>
      <c r="BH72" s="6">
        <f t="shared" si="30"/>
        <v>0</v>
      </c>
      <c r="BI72" s="6">
        <f t="shared" si="30"/>
        <v>0</v>
      </c>
      <c r="BJ72" s="6">
        <f t="shared" si="30"/>
        <v>0</v>
      </c>
      <c r="BK72" s="6">
        <f t="shared" si="30"/>
        <v>0</v>
      </c>
    </row>
    <row r="73" spans="2:63" x14ac:dyDescent="0.25">
      <c r="B73" s="1" t="s">
        <v>365</v>
      </c>
      <c r="D73" s="6">
        <v>0</v>
      </c>
      <c r="E73" s="6">
        <f t="shared" ref="E73:AJ73" si="31">D72-D80</f>
        <v>0</v>
      </c>
      <c r="F73" s="6">
        <f t="shared" si="31"/>
        <v>0</v>
      </c>
      <c r="G73" s="6">
        <f t="shared" si="31"/>
        <v>0</v>
      </c>
      <c r="H73" s="6">
        <f t="shared" si="31"/>
        <v>0</v>
      </c>
      <c r="I73" s="6">
        <f t="shared" si="31"/>
        <v>5435488874.9534569</v>
      </c>
      <c r="J73" s="6">
        <f t="shared" si="31"/>
        <v>29849893071.619404</v>
      </c>
      <c r="K73" s="6">
        <f t="shared" si="31"/>
        <v>11844836173.336075</v>
      </c>
      <c r="L73" s="6">
        <f t="shared" si="31"/>
        <v>0</v>
      </c>
      <c r="M73" s="6">
        <f t="shared" si="31"/>
        <v>0</v>
      </c>
      <c r="N73" s="6">
        <f t="shared" si="31"/>
        <v>0</v>
      </c>
      <c r="O73" s="6">
        <f t="shared" si="31"/>
        <v>0</v>
      </c>
      <c r="P73" s="6">
        <f t="shared" si="31"/>
        <v>0</v>
      </c>
      <c r="Q73" s="6">
        <f t="shared" si="31"/>
        <v>0</v>
      </c>
      <c r="R73" s="6">
        <f t="shared" si="31"/>
        <v>0</v>
      </c>
      <c r="S73" s="6">
        <f t="shared" si="31"/>
        <v>0</v>
      </c>
      <c r="T73" s="6">
        <f t="shared" si="31"/>
        <v>0</v>
      </c>
      <c r="U73" s="6">
        <f t="shared" si="31"/>
        <v>0</v>
      </c>
      <c r="V73" s="6">
        <f t="shared" si="31"/>
        <v>0</v>
      </c>
      <c r="W73" s="6">
        <f t="shared" si="31"/>
        <v>0</v>
      </c>
      <c r="X73" s="6">
        <f t="shared" si="31"/>
        <v>0</v>
      </c>
      <c r="Y73" s="6">
        <f t="shared" si="31"/>
        <v>0</v>
      </c>
      <c r="Z73" s="6">
        <f t="shared" si="31"/>
        <v>0</v>
      </c>
      <c r="AA73" s="6">
        <f t="shared" si="31"/>
        <v>0</v>
      </c>
      <c r="AB73" s="6">
        <f t="shared" si="31"/>
        <v>0</v>
      </c>
      <c r="AC73" s="6">
        <f t="shared" si="31"/>
        <v>0</v>
      </c>
      <c r="AD73" s="6">
        <f t="shared" si="31"/>
        <v>0</v>
      </c>
      <c r="AE73" s="6">
        <f t="shared" si="31"/>
        <v>0</v>
      </c>
      <c r="AF73" s="6">
        <f t="shared" si="31"/>
        <v>0</v>
      </c>
      <c r="AG73" s="6">
        <f t="shared" si="31"/>
        <v>0</v>
      </c>
      <c r="AH73" s="6">
        <f t="shared" si="31"/>
        <v>0</v>
      </c>
      <c r="AI73" s="6">
        <f t="shared" si="31"/>
        <v>0</v>
      </c>
      <c r="AJ73" s="6">
        <f t="shared" si="31"/>
        <v>0</v>
      </c>
      <c r="AK73" s="6">
        <f t="shared" ref="AK73:BK73" si="32">AJ72-AJ80</f>
        <v>0</v>
      </c>
      <c r="AL73" s="6">
        <f t="shared" si="32"/>
        <v>0</v>
      </c>
      <c r="AM73" s="6">
        <f t="shared" si="32"/>
        <v>0</v>
      </c>
      <c r="AN73" s="6">
        <f t="shared" si="32"/>
        <v>0</v>
      </c>
      <c r="AO73" s="6">
        <f t="shared" si="32"/>
        <v>0</v>
      </c>
      <c r="AP73" s="6">
        <f t="shared" si="32"/>
        <v>0</v>
      </c>
      <c r="AQ73" s="6">
        <f t="shared" si="32"/>
        <v>0</v>
      </c>
      <c r="AR73" s="6">
        <f t="shared" si="32"/>
        <v>0</v>
      </c>
      <c r="AS73" s="6">
        <f t="shared" si="32"/>
        <v>0</v>
      </c>
      <c r="AT73" s="6">
        <f t="shared" si="32"/>
        <v>0</v>
      </c>
      <c r="AU73" s="6">
        <f t="shared" si="32"/>
        <v>0</v>
      </c>
      <c r="AV73" s="6">
        <f t="shared" si="32"/>
        <v>0</v>
      </c>
      <c r="AW73" s="6">
        <f t="shared" si="32"/>
        <v>0</v>
      </c>
      <c r="AX73" s="6">
        <f t="shared" si="32"/>
        <v>0</v>
      </c>
      <c r="AY73" s="6">
        <f t="shared" si="32"/>
        <v>0</v>
      </c>
      <c r="AZ73" s="6">
        <f t="shared" si="32"/>
        <v>0</v>
      </c>
      <c r="BA73" s="6">
        <f t="shared" si="32"/>
        <v>0</v>
      </c>
      <c r="BB73" s="6">
        <f t="shared" si="32"/>
        <v>0</v>
      </c>
      <c r="BC73" s="6">
        <f t="shared" si="32"/>
        <v>0</v>
      </c>
      <c r="BD73" s="6">
        <f t="shared" si="32"/>
        <v>0</v>
      </c>
      <c r="BE73" s="6">
        <f t="shared" si="32"/>
        <v>0</v>
      </c>
      <c r="BF73" s="6">
        <f t="shared" si="32"/>
        <v>0</v>
      </c>
      <c r="BG73" s="6">
        <f t="shared" si="32"/>
        <v>0</v>
      </c>
      <c r="BH73" s="6">
        <f t="shared" si="32"/>
        <v>0</v>
      </c>
      <c r="BI73" s="6">
        <f t="shared" si="32"/>
        <v>0</v>
      </c>
      <c r="BJ73" s="6">
        <f t="shared" si="32"/>
        <v>0</v>
      </c>
      <c r="BK73" s="6">
        <f t="shared" si="32"/>
        <v>0</v>
      </c>
    </row>
    <row r="74" spans="2:63" x14ac:dyDescent="0.25">
      <c r="B74" s="1" t="s">
        <v>366</v>
      </c>
      <c r="D74" s="6">
        <v>0</v>
      </c>
      <c r="E74" s="6">
        <f t="shared" ref="E74:AJ74" si="33">D73-D79</f>
        <v>0</v>
      </c>
      <c r="F74" s="6">
        <f t="shared" si="33"/>
        <v>0</v>
      </c>
      <c r="G74" s="6">
        <f t="shared" si="33"/>
        <v>0</v>
      </c>
      <c r="H74" s="6">
        <f t="shared" si="33"/>
        <v>0</v>
      </c>
      <c r="I74" s="6">
        <f t="shared" si="33"/>
        <v>0</v>
      </c>
      <c r="J74" s="6">
        <f t="shared" si="33"/>
        <v>5435488874.9534569</v>
      </c>
      <c r="K74" s="6">
        <f t="shared" si="33"/>
        <v>29849893071.619404</v>
      </c>
      <c r="L74" s="6">
        <f t="shared" si="33"/>
        <v>11844836173.336075</v>
      </c>
      <c r="M74" s="6">
        <f t="shared" si="33"/>
        <v>0</v>
      </c>
      <c r="N74" s="6">
        <f t="shared" si="33"/>
        <v>0</v>
      </c>
      <c r="O74" s="6">
        <f t="shared" si="33"/>
        <v>0</v>
      </c>
      <c r="P74" s="6">
        <f t="shared" si="33"/>
        <v>0</v>
      </c>
      <c r="Q74" s="6">
        <f t="shared" si="33"/>
        <v>0</v>
      </c>
      <c r="R74" s="6">
        <f t="shared" si="33"/>
        <v>0</v>
      </c>
      <c r="S74" s="6">
        <f t="shared" si="33"/>
        <v>0</v>
      </c>
      <c r="T74" s="6">
        <f t="shared" si="33"/>
        <v>0</v>
      </c>
      <c r="U74" s="6">
        <f t="shared" si="33"/>
        <v>0</v>
      </c>
      <c r="V74" s="6">
        <f t="shared" si="33"/>
        <v>0</v>
      </c>
      <c r="W74" s="6">
        <f t="shared" si="33"/>
        <v>0</v>
      </c>
      <c r="X74" s="6">
        <f t="shared" si="33"/>
        <v>0</v>
      </c>
      <c r="Y74" s="6">
        <f t="shared" si="33"/>
        <v>0</v>
      </c>
      <c r="Z74" s="6">
        <f t="shared" si="33"/>
        <v>0</v>
      </c>
      <c r="AA74" s="6">
        <f t="shared" si="33"/>
        <v>0</v>
      </c>
      <c r="AB74" s="6">
        <f t="shared" si="33"/>
        <v>0</v>
      </c>
      <c r="AC74" s="6">
        <f t="shared" si="33"/>
        <v>0</v>
      </c>
      <c r="AD74" s="6">
        <f t="shared" si="33"/>
        <v>0</v>
      </c>
      <c r="AE74" s="6">
        <f t="shared" si="33"/>
        <v>0</v>
      </c>
      <c r="AF74" s="6">
        <f t="shared" si="33"/>
        <v>0</v>
      </c>
      <c r="AG74" s="6">
        <f t="shared" si="33"/>
        <v>0</v>
      </c>
      <c r="AH74" s="6">
        <f t="shared" si="33"/>
        <v>0</v>
      </c>
      <c r="AI74" s="6">
        <f t="shared" si="33"/>
        <v>0</v>
      </c>
      <c r="AJ74" s="6">
        <f t="shared" si="33"/>
        <v>0</v>
      </c>
      <c r="AK74" s="6">
        <f t="shared" ref="AK74:BK74" si="34">AJ73-AJ79</f>
        <v>0</v>
      </c>
      <c r="AL74" s="6">
        <f t="shared" si="34"/>
        <v>0</v>
      </c>
      <c r="AM74" s="6">
        <f t="shared" si="34"/>
        <v>0</v>
      </c>
      <c r="AN74" s="6">
        <f t="shared" si="34"/>
        <v>0</v>
      </c>
      <c r="AO74" s="6">
        <f t="shared" si="34"/>
        <v>0</v>
      </c>
      <c r="AP74" s="6">
        <f t="shared" si="34"/>
        <v>0</v>
      </c>
      <c r="AQ74" s="6">
        <f t="shared" si="34"/>
        <v>0</v>
      </c>
      <c r="AR74" s="6">
        <f t="shared" si="34"/>
        <v>0</v>
      </c>
      <c r="AS74" s="6">
        <f t="shared" si="34"/>
        <v>0</v>
      </c>
      <c r="AT74" s="6">
        <f t="shared" si="34"/>
        <v>0</v>
      </c>
      <c r="AU74" s="6">
        <f t="shared" si="34"/>
        <v>0</v>
      </c>
      <c r="AV74" s="6">
        <f t="shared" si="34"/>
        <v>0</v>
      </c>
      <c r="AW74" s="6">
        <f t="shared" si="34"/>
        <v>0</v>
      </c>
      <c r="AX74" s="6">
        <f t="shared" si="34"/>
        <v>0</v>
      </c>
      <c r="AY74" s="6">
        <f t="shared" si="34"/>
        <v>0</v>
      </c>
      <c r="AZ74" s="6">
        <f t="shared" si="34"/>
        <v>0</v>
      </c>
      <c r="BA74" s="6">
        <f t="shared" si="34"/>
        <v>0</v>
      </c>
      <c r="BB74" s="6">
        <f t="shared" si="34"/>
        <v>0</v>
      </c>
      <c r="BC74" s="6">
        <f t="shared" si="34"/>
        <v>0</v>
      </c>
      <c r="BD74" s="6">
        <f t="shared" si="34"/>
        <v>0</v>
      </c>
      <c r="BE74" s="6">
        <f t="shared" si="34"/>
        <v>0</v>
      </c>
      <c r="BF74" s="6">
        <f t="shared" si="34"/>
        <v>0</v>
      </c>
      <c r="BG74" s="6">
        <f t="shared" si="34"/>
        <v>0</v>
      </c>
      <c r="BH74" s="6">
        <f t="shared" si="34"/>
        <v>0</v>
      </c>
      <c r="BI74" s="6">
        <f t="shared" si="34"/>
        <v>0</v>
      </c>
      <c r="BJ74" s="6">
        <f t="shared" si="34"/>
        <v>0</v>
      </c>
      <c r="BK74" s="6">
        <f t="shared" si="34"/>
        <v>0</v>
      </c>
    </row>
    <row r="75" spans="2:63" x14ac:dyDescent="0.25">
      <c r="B75" s="1" t="s">
        <v>367</v>
      </c>
      <c r="D75" s="6">
        <v>0</v>
      </c>
      <c r="E75" s="6">
        <f t="shared" ref="E75:AJ75" si="35">D74-D78</f>
        <v>0</v>
      </c>
      <c r="F75" s="6">
        <f t="shared" si="35"/>
        <v>0</v>
      </c>
      <c r="G75" s="6">
        <f t="shared" si="35"/>
        <v>0</v>
      </c>
      <c r="H75" s="6">
        <f t="shared" si="35"/>
        <v>0</v>
      </c>
      <c r="I75" s="6">
        <f t="shared" si="35"/>
        <v>0</v>
      </c>
      <c r="J75" s="6">
        <f t="shared" si="35"/>
        <v>0</v>
      </c>
      <c r="K75" s="6">
        <f t="shared" si="35"/>
        <v>5435488874.9534569</v>
      </c>
      <c r="L75" s="6">
        <f t="shared" si="35"/>
        <v>29849893071.619404</v>
      </c>
      <c r="M75" s="6">
        <f t="shared" si="35"/>
        <v>11844836173.336075</v>
      </c>
      <c r="N75" s="6">
        <f t="shared" si="35"/>
        <v>0</v>
      </c>
      <c r="O75" s="6">
        <f t="shared" si="35"/>
        <v>0</v>
      </c>
      <c r="P75" s="6">
        <f t="shared" si="35"/>
        <v>0</v>
      </c>
      <c r="Q75" s="6">
        <f t="shared" si="35"/>
        <v>0</v>
      </c>
      <c r="R75" s="6">
        <f t="shared" si="35"/>
        <v>0</v>
      </c>
      <c r="S75" s="6">
        <f t="shared" si="35"/>
        <v>0</v>
      </c>
      <c r="T75" s="6">
        <f t="shared" si="35"/>
        <v>0</v>
      </c>
      <c r="U75" s="6">
        <f t="shared" si="35"/>
        <v>0</v>
      </c>
      <c r="V75" s="6">
        <f t="shared" si="35"/>
        <v>0</v>
      </c>
      <c r="W75" s="6">
        <f t="shared" si="35"/>
        <v>0</v>
      </c>
      <c r="X75" s="6">
        <f t="shared" si="35"/>
        <v>0</v>
      </c>
      <c r="Y75" s="6">
        <f t="shared" si="35"/>
        <v>0</v>
      </c>
      <c r="Z75" s="6">
        <f t="shared" si="35"/>
        <v>0</v>
      </c>
      <c r="AA75" s="6">
        <f t="shared" si="35"/>
        <v>0</v>
      </c>
      <c r="AB75" s="6">
        <f t="shared" si="35"/>
        <v>0</v>
      </c>
      <c r="AC75" s="6">
        <f t="shared" si="35"/>
        <v>0</v>
      </c>
      <c r="AD75" s="6">
        <f t="shared" si="35"/>
        <v>0</v>
      </c>
      <c r="AE75" s="6">
        <f t="shared" si="35"/>
        <v>0</v>
      </c>
      <c r="AF75" s="6">
        <f t="shared" si="35"/>
        <v>0</v>
      </c>
      <c r="AG75" s="6">
        <f t="shared" si="35"/>
        <v>0</v>
      </c>
      <c r="AH75" s="6">
        <f t="shared" si="35"/>
        <v>0</v>
      </c>
      <c r="AI75" s="6">
        <f t="shared" si="35"/>
        <v>0</v>
      </c>
      <c r="AJ75" s="6">
        <f t="shared" si="35"/>
        <v>0</v>
      </c>
      <c r="AK75" s="6">
        <f t="shared" ref="AK75:BK75" si="36">AJ74-AJ78</f>
        <v>0</v>
      </c>
      <c r="AL75" s="6">
        <f t="shared" si="36"/>
        <v>0</v>
      </c>
      <c r="AM75" s="6">
        <f t="shared" si="36"/>
        <v>0</v>
      </c>
      <c r="AN75" s="6">
        <f t="shared" si="36"/>
        <v>0</v>
      </c>
      <c r="AO75" s="6">
        <f t="shared" si="36"/>
        <v>0</v>
      </c>
      <c r="AP75" s="6">
        <f t="shared" si="36"/>
        <v>0</v>
      </c>
      <c r="AQ75" s="6">
        <f t="shared" si="36"/>
        <v>0</v>
      </c>
      <c r="AR75" s="6">
        <f t="shared" si="36"/>
        <v>0</v>
      </c>
      <c r="AS75" s="6">
        <f t="shared" si="36"/>
        <v>0</v>
      </c>
      <c r="AT75" s="6">
        <f t="shared" si="36"/>
        <v>0</v>
      </c>
      <c r="AU75" s="6">
        <f t="shared" si="36"/>
        <v>0</v>
      </c>
      <c r="AV75" s="6">
        <f t="shared" si="36"/>
        <v>0</v>
      </c>
      <c r="AW75" s="6">
        <f t="shared" si="36"/>
        <v>0</v>
      </c>
      <c r="AX75" s="6">
        <f t="shared" si="36"/>
        <v>0</v>
      </c>
      <c r="AY75" s="6">
        <f t="shared" si="36"/>
        <v>0</v>
      </c>
      <c r="AZ75" s="6">
        <f t="shared" si="36"/>
        <v>0</v>
      </c>
      <c r="BA75" s="6">
        <f t="shared" si="36"/>
        <v>0</v>
      </c>
      <c r="BB75" s="6">
        <f t="shared" si="36"/>
        <v>0</v>
      </c>
      <c r="BC75" s="6">
        <f t="shared" si="36"/>
        <v>0</v>
      </c>
      <c r="BD75" s="6">
        <f t="shared" si="36"/>
        <v>0</v>
      </c>
      <c r="BE75" s="6">
        <f t="shared" si="36"/>
        <v>0</v>
      </c>
      <c r="BF75" s="6">
        <f t="shared" si="36"/>
        <v>0</v>
      </c>
      <c r="BG75" s="6">
        <f t="shared" si="36"/>
        <v>0</v>
      </c>
      <c r="BH75" s="6">
        <f t="shared" si="36"/>
        <v>0</v>
      </c>
      <c r="BI75" s="6">
        <f t="shared" si="36"/>
        <v>0</v>
      </c>
      <c r="BJ75" s="6">
        <f t="shared" si="36"/>
        <v>0</v>
      </c>
      <c r="BK75" s="6">
        <f t="shared" si="36"/>
        <v>0</v>
      </c>
    </row>
    <row r="76" spans="2:63" x14ac:dyDescent="0.25">
      <c r="B76" s="1" t="s">
        <v>368</v>
      </c>
      <c r="D76" s="6">
        <f t="shared" ref="D76:AI76" si="37">MAX(D70,0)</f>
        <v>0</v>
      </c>
      <c r="E76" s="6">
        <f t="shared" si="37"/>
        <v>0</v>
      </c>
      <c r="F76" s="6">
        <f t="shared" si="37"/>
        <v>0</v>
      </c>
      <c r="G76" s="6">
        <f t="shared" si="37"/>
        <v>0</v>
      </c>
      <c r="H76" s="6">
        <f t="shared" si="37"/>
        <v>0</v>
      </c>
      <c r="I76" s="6">
        <f t="shared" si="37"/>
        <v>0</v>
      </c>
      <c r="J76" s="6">
        <f t="shared" si="37"/>
        <v>0</v>
      </c>
      <c r="K76" s="6">
        <f t="shared" si="37"/>
        <v>0</v>
      </c>
      <c r="L76" s="6">
        <f t="shared" si="37"/>
        <v>0</v>
      </c>
      <c r="M76" s="6">
        <f t="shared" si="37"/>
        <v>0</v>
      </c>
      <c r="N76" s="6">
        <f t="shared" si="37"/>
        <v>0</v>
      </c>
      <c r="O76" s="6">
        <f t="shared" si="37"/>
        <v>0</v>
      </c>
      <c r="P76" s="6">
        <f t="shared" si="37"/>
        <v>0</v>
      </c>
      <c r="Q76" s="6">
        <f t="shared" si="37"/>
        <v>0</v>
      </c>
      <c r="R76" s="6">
        <f t="shared" si="37"/>
        <v>0</v>
      </c>
      <c r="S76" s="6">
        <f t="shared" si="37"/>
        <v>0</v>
      </c>
      <c r="T76" s="6">
        <f t="shared" si="37"/>
        <v>0</v>
      </c>
      <c r="U76" s="6">
        <f t="shared" si="37"/>
        <v>0</v>
      </c>
      <c r="V76" s="6">
        <f t="shared" si="37"/>
        <v>0</v>
      </c>
      <c r="W76" s="6">
        <f t="shared" si="37"/>
        <v>0</v>
      </c>
      <c r="X76" s="6">
        <f t="shared" si="37"/>
        <v>0</v>
      </c>
      <c r="Y76" s="6">
        <f t="shared" si="37"/>
        <v>0</v>
      </c>
      <c r="Z76" s="6">
        <f t="shared" si="37"/>
        <v>0</v>
      </c>
      <c r="AA76" s="6">
        <f t="shared" si="37"/>
        <v>0</v>
      </c>
      <c r="AB76" s="6">
        <f t="shared" si="37"/>
        <v>0</v>
      </c>
      <c r="AC76" s="6">
        <f t="shared" si="37"/>
        <v>0</v>
      </c>
      <c r="AD76" s="6">
        <f t="shared" si="37"/>
        <v>0</v>
      </c>
      <c r="AE76" s="6">
        <f t="shared" si="37"/>
        <v>0</v>
      </c>
      <c r="AF76" s="6">
        <f t="shared" si="37"/>
        <v>0</v>
      </c>
      <c r="AG76" s="6">
        <f t="shared" si="37"/>
        <v>0</v>
      </c>
      <c r="AH76" s="6">
        <f t="shared" si="37"/>
        <v>0</v>
      </c>
      <c r="AI76" s="6">
        <f t="shared" si="37"/>
        <v>0</v>
      </c>
      <c r="AJ76" s="6">
        <f t="shared" ref="AJ76:BK76" si="38">MAX(AJ70,0)</f>
        <v>0</v>
      </c>
      <c r="AK76" s="6">
        <f t="shared" si="38"/>
        <v>0</v>
      </c>
      <c r="AL76" s="6">
        <f t="shared" si="38"/>
        <v>0</v>
      </c>
      <c r="AM76" s="6">
        <f t="shared" si="38"/>
        <v>0</v>
      </c>
      <c r="AN76" s="6">
        <f t="shared" si="38"/>
        <v>0</v>
      </c>
      <c r="AO76" s="6">
        <f t="shared" si="38"/>
        <v>0</v>
      </c>
      <c r="AP76" s="6">
        <f t="shared" si="38"/>
        <v>0</v>
      </c>
      <c r="AQ76" s="6">
        <f t="shared" si="38"/>
        <v>0</v>
      </c>
      <c r="AR76" s="6">
        <f t="shared" si="38"/>
        <v>0</v>
      </c>
      <c r="AS76" s="6">
        <f t="shared" si="38"/>
        <v>0</v>
      </c>
      <c r="AT76" s="6">
        <f t="shared" si="38"/>
        <v>0</v>
      </c>
      <c r="AU76" s="6">
        <f t="shared" si="38"/>
        <v>0</v>
      </c>
      <c r="AV76" s="6">
        <f t="shared" si="38"/>
        <v>0</v>
      </c>
      <c r="AW76" s="6">
        <f t="shared" si="38"/>
        <v>0</v>
      </c>
      <c r="AX76" s="6">
        <f t="shared" si="38"/>
        <v>0</v>
      </c>
      <c r="AY76" s="6">
        <f t="shared" si="38"/>
        <v>0</v>
      </c>
      <c r="AZ76" s="6">
        <f t="shared" si="38"/>
        <v>0</v>
      </c>
      <c r="BA76" s="6">
        <f t="shared" si="38"/>
        <v>0</v>
      </c>
      <c r="BB76" s="6">
        <f t="shared" si="38"/>
        <v>0</v>
      </c>
      <c r="BC76" s="6">
        <f t="shared" si="38"/>
        <v>0</v>
      </c>
      <c r="BD76" s="6">
        <f t="shared" si="38"/>
        <v>0</v>
      </c>
      <c r="BE76" s="6">
        <f t="shared" si="38"/>
        <v>0</v>
      </c>
      <c r="BF76" s="6">
        <f t="shared" si="38"/>
        <v>0</v>
      </c>
      <c r="BG76" s="6">
        <f t="shared" si="38"/>
        <v>0</v>
      </c>
      <c r="BH76" s="6">
        <f t="shared" si="38"/>
        <v>0</v>
      </c>
      <c r="BI76" s="6">
        <f t="shared" si="38"/>
        <v>0</v>
      </c>
      <c r="BJ76" s="6">
        <f t="shared" si="38"/>
        <v>0</v>
      </c>
      <c r="BK76" s="6">
        <f t="shared" si="38"/>
        <v>0</v>
      </c>
    </row>
    <row r="77" spans="2:63" x14ac:dyDescent="0.25">
      <c r="B77" s="1" t="s">
        <v>369</v>
      </c>
      <c r="D77" s="6">
        <f t="shared" ref="D77:AI77" si="39">MIN(D75,D76)</f>
        <v>0</v>
      </c>
      <c r="E77" s="6">
        <f t="shared" si="39"/>
        <v>0</v>
      </c>
      <c r="F77" s="6">
        <f t="shared" si="39"/>
        <v>0</v>
      </c>
      <c r="G77" s="6">
        <f t="shared" si="39"/>
        <v>0</v>
      </c>
      <c r="H77" s="6">
        <f t="shared" si="39"/>
        <v>0</v>
      </c>
      <c r="I77" s="6">
        <f t="shared" si="39"/>
        <v>0</v>
      </c>
      <c r="J77" s="6">
        <f t="shared" si="39"/>
        <v>0</v>
      </c>
      <c r="K77" s="6">
        <f t="shared" si="39"/>
        <v>0</v>
      </c>
      <c r="L77" s="6">
        <f t="shared" si="39"/>
        <v>0</v>
      </c>
      <c r="M77" s="6">
        <f t="shared" si="39"/>
        <v>0</v>
      </c>
      <c r="N77" s="6">
        <f t="shared" si="39"/>
        <v>0</v>
      </c>
      <c r="O77" s="6">
        <f t="shared" si="39"/>
        <v>0</v>
      </c>
      <c r="P77" s="6">
        <f t="shared" si="39"/>
        <v>0</v>
      </c>
      <c r="Q77" s="6">
        <f t="shared" si="39"/>
        <v>0</v>
      </c>
      <c r="R77" s="6">
        <f t="shared" si="39"/>
        <v>0</v>
      </c>
      <c r="S77" s="6">
        <f t="shared" si="39"/>
        <v>0</v>
      </c>
      <c r="T77" s="6">
        <f t="shared" si="39"/>
        <v>0</v>
      </c>
      <c r="U77" s="6">
        <f t="shared" si="39"/>
        <v>0</v>
      </c>
      <c r="V77" s="6">
        <f t="shared" si="39"/>
        <v>0</v>
      </c>
      <c r="W77" s="6">
        <f t="shared" si="39"/>
        <v>0</v>
      </c>
      <c r="X77" s="6">
        <f t="shared" si="39"/>
        <v>0</v>
      </c>
      <c r="Y77" s="6">
        <f t="shared" si="39"/>
        <v>0</v>
      </c>
      <c r="Z77" s="6">
        <f t="shared" si="39"/>
        <v>0</v>
      </c>
      <c r="AA77" s="6">
        <f t="shared" si="39"/>
        <v>0</v>
      </c>
      <c r="AB77" s="6">
        <f t="shared" si="39"/>
        <v>0</v>
      </c>
      <c r="AC77" s="6">
        <f t="shared" si="39"/>
        <v>0</v>
      </c>
      <c r="AD77" s="6">
        <f t="shared" si="39"/>
        <v>0</v>
      </c>
      <c r="AE77" s="6">
        <f t="shared" si="39"/>
        <v>0</v>
      </c>
      <c r="AF77" s="6">
        <f t="shared" si="39"/>
        <v>0</v>
      </c>
      <c r="AG77" s="6">
        <f t="shared" si="39"/>
        <v>0</v>
      </c>
      <c r="AH77" s="6">
        <f t="shared" si="39"/>
        <v>0</v>
      </c>
      <c r="AI77" s="6">
        <f t="shared" si="39"/>
        <v>0</v>
      </c>
      <c r="AJ77" s="6">
        <f t="shared" ref="AJ77:BK77" si="40">MIN(AJ75,AJ76)</f>
        <v>0</v>
      </c>
      <c r="AK77" s="6">
        <f t="shared" si="40"/>
        <v>0</v>
      </c>
      <c r="AL77" s="6">
        <f t="shared" si="40"/>
        <v>0</v>
      </c>
      <c r="AM77" s="6">
        <f t="shared" si="40"/>
        <v>0</v>
      </c>
      <c r="AN77" s="6">
        <f t="shared" si="40"/>
        <v>0</v>
      </c>
      <c r="AO77" s="6">
        <f t="shared" si="40"/>
        <v>0</v>
      </c>
      <c r="AP77" s="6">
        <f t="shared" si="40"/>
        <v>0</v>
      </c>
      <c r="AQ77" s="6">
        <f t="shared" si="40"/>
        <v>0</v>
      </c>
      <c r="AR77" s="6">
        <f t="shared" si="40"/>
        <v>0</v>
      </c>
      <c r="AS77" s="6">
        <f t="shared" si="40"/>
        <v>0</v>
      </c>
      <c r="AT77" s="6">
        <f t="shared" si="40"/>
        <v>0</v>
      </c>
      <c r="AU77" s="6">
        <f t="shared" si="40"/>
        <v>0</v>
      </c>
      <c r="AV77" s="6">
        <f t="shared" si="40"/>
        <v>0</v>
      </c>
      <c r="AW77" s="6">
        <f t="shared" si="40"/>
        <v>0</v>
      </c>
      <c r="AX77" s="6">
        <f t="shared" si="40"/>
        <v>0</v>
      </c>
      <c r="AY77" s="6">
        <f t="shared" si="40"/>
        <v>0</v>
      </c>
      <c r="AZ77" s="6">
        <f t="shared" si="40"/>
        <v>0</v>
      </c>
      <c r="BA77" s="6">
        <f t="shared" si="40"/>
        <v>0</v>
      </c>
      <c r="BB77" s="6">
        <f t="shared" si="40"/>
        <v>0</v>
      </c>
      <c r="BC77" s="6">
        <f t="shared" si="40"/>
        <v>0</v>
      </c>
      <c r="BD77" s="6">
        <f t="shared" si="40"/>
        <v>0</v>
      </c>
      <c r="BE77" s="6">
        <f t="shared" si="40"/>
        <v>0</v>
      </c>
      <c r="BF77" s="6">
        <f t="shared" si="40"/>
        <v>0</v>
      </c>
      <c r="BG77" s="6">
        <f t="shared" si="40"/>
        <v>0</v>
      </c>
      <c r="BH77" s="6">
        <f t="shared" si="40"/>
        <v>0</v>
      </c>
      <c r="BI77" s="6">
        <f t="shared" si="40"/>
        <v>0</v>
      </c>
      <c r="BJ77" s="6">
        <f t="shared" si="40"/>
        <v>0</v>
      </c>
      <c r="BK77" s="6">
        <f t="shared" si="40"/>
        <v>0</v>
      </c>
    </row>
    <row r="78" spans="2:63" x14ac:dyDescent="0.25">
      <c r="B78" s="1" t="s">
        <v>370</v>
      </c>
      <c r="D78" s="6">
        <f t="shared" ref="D78:AI78" si="41">MIN(D74,MAX(D76-D77,0))</f>
        <v>0</v>
      </c>
      <c r="E78" s="6">
        <f t="shared" si="41"/>
        <v>0</v>
      </c>
      <c r="F78" s="6">
        <f t="shared" si="41"/>
        <v>0</v>
      </c>
      <c r="G78" s="6">
        <f t="shared" si="41"/>
        <v>0</v>
      </c>
      <c r="H78" s="6">
        <f t="shared" si="41"/>
        <v>0</v>
      </c>
      <c r="I78" s="6">
        <f t="shared" si="41"/>
        <v>0</v>
      </c>
      <c r="J78" s="6">
        <f t="shared" si="41"/>
        <v>0</v>
      </c>
      <c r="K78" s="6">
        <f t="shared" si="41"/>
        <v>0</v>
      </c>
      <c r="L78" s="6">
        <f t="shared" si="41"/>
        <v>0</v>
      </c>
      <c r="M78" s="6">
        <f t="shared" si="41"/>
        <v>0</v>
      </c>
      <c r="N78" s="6">
        <f t="shared" si="41"/>
        <v>0</v>
      </c>
      <c r="O78" s="6">
        <f t="shared" si="41"/>
        <v>0</v>
      </c>
      <c r="P78" s="6">
        <f t="shared" si="41"/>
        <v>0</v>
      </c>
      <c r="Q78" s="6">
        <f t="shared" si="41"/>
        <v>0</v>
      </c>
      <c r="R78" s="6">
        <f t="shared" si="41"/>
        <v>0</v>
      </c>
      <c r="S78" s="6">
        <f t="shared" si="41"/>
        <v>0</v>
      </c>
      <c r="T78" s="6">
        <f t="shared" si="41"/>
        <v>0</v>
      </c>
      <c r="U78" s="6">
        <f t="shared" si="41"/>
        <v>0</v>
      </c>
      <c r="V78" s="6">
        <f t="shared" si="41"/>
        <v>0</v>
      </c>
      <c r="W78" s="6">
        <f t="shared" si="41"/>
        <v>0</v>
      </c>
      <c r="X78" s="6">
        <f t="shared" si="41"/>
        <v>0</v>
      </c>
      <c r="Y78" s="6">
        <f t="shared" si="41"/>
        <v>0</v>
      </c>
      <c r="Z78" s="6">
        <f t="shared" si="41"/>
        <v>0</v>
      </c>
      <c r="AA78" s="6">
        <f t="shared" si="41"/>
        <v>0</v>
      </c>
      <c r="AB78" s="6">
        <f t="shared" si="41"/>
        <v>0</v>
      </c>
      <c r="AC78" s="6">
        <f t="shared" si="41"/>
        <v>0</v>
      </c>
      <c r="AD78" s="6">
        <f t="shared" si="41"/>
        <v>0</v>
      </c>
      <c r="AE78" s="6">
        <f t="shared" si="41"/>
        <v>0</v>
      </c>
      <c r="AF78" s="6">
        <f t="shared" si="41"/>
        <v>0</v>
      </c>
      <c r="AG78" s="6">
        <f t="shared" si="41"/>
        <v>0</v>
      </c>
      <c r="AH78" s="6">
        <f t="shared" si="41"/>
        <v>0</v>
      </c>
      <c r="AI78" s="6">
        <f t="shared" si="41"/>
        <v>0</v>
      </c>
      <c r="AJ78" s="6">
        <f t="shared" ref="AJ78:BK78" si="42">MIN(AJ74,MAX(AJ76-AJ77,0))</f>
        <v>0</v>
      </c>
      <c r="AK78" s="6">
        <f t="shared" si="42"/>
        <v>0</v>
      </c>
      <c r="AL78" s="6">
        <f t="shared" si="42"/>
        <v>0</v>
      </c>
      <c r="AM78" s="6">
        <f t="shared" si="42"/>
        <v>0</v>
      </c>
      <c r="AN78" s="6">
        <f t="shared" si="42"/>
        <v>0</v>
      </c>
      <c r="AO78" s="6">
        <f t="shared" si="42"/>
        <v>0</v>
      </c>
      <c r="AP78" s="6">
        <f t="shared" si="42"/>
        <v>0</v>
      </c>
      <c r="AQ78" s="6">
        <f t="shared" si="42"/>
        <v>0</v>
      </c>
      <c r="AR78" s="6">
        <f t="shared" si="42"/>
        <v>0</v>
      </c>
      <c r="AS78" s="6">
        <f t="shared" si="42"/>
        <v>0</v>
      </c>
      <c r="AT78" s="6">
        <f t="shared" si="42"/>
        <v>0</v>
      </c>
      <c r="AU78" s="6">
        <f t="shared" si="42"/>
        <v>0</v>
      </c>
      <c r="AV78" s="6">
        <f t="shared" si="42"/>
        <v>0</v>
      </c>
      <c r="AW78" s="6">
        <f t="shared" si="42"/>
        <v>0</v>
      </c>
      <c r="AX78" s="6">
        <f t="shared" si="42"/>
        <v>0</v>
      </c>
      <c r="AY78" s="6">
        <f t="shared" si="42"/>
        <v>0</v>
      </c>
      <c r="AZ78" s="6">
        <f t="shared" si="42"/>
        <v>0</v>
      </c>
      <c r="BA78" s="6">
        <f t="shared" si="42"/>
        <v>0</v>
      </c>
      <c r="BB78" s="6">
        <f t="shared" si="42"/>
        <v>0</v>
      </c>
      <c r="BC78" s="6">
        <f t="shared" si="42"/>
        <v>0</v>
      </c>
      <c r="BD78" s="6">
        <f t="shared" si="42"/>
        <v>0</v>
      </c>
      <c r="BE78" s="6">
        <f t="shared" si="42"/>
        <v>0</v>
      </c>
      <c r="BF78" s="6">
        <f t="shared" si="42"/>
        <v>0</v>
      </c>
      <c r="BG78" s="6">
        <f t="shared" si="42"/>
        <v>0</v>
      </c>
      <c r="BH78" s="6">
        <f t="shared" si="42"/>
        <v>0</v>
      </c>
      <c r="BI78" s="6">
        <f t="shared" si="42"/>
        <v>0</v>
      </c>
      <c r="BJ78" s="6">
        <f t="shared" si="42"/>
        <v>0</v>
      </c>
      <c r="BK78" s="6">
        <f t="shared" si="42"/>
        <v>0</v>
      </c>
    </row>
    <row r="79" spans="2:63" x14ac:dyDescent="0.25">
      <c r="B79" s="1" t="s">
        <v>371</v>
      </c>
      <c r="D79" s="6">
        <f t="shared" ref="D79:AI79" si="43">MIN(D73,MAX(D76-D77-D78,0))</f>
        <v>0</v>
      </c>
      <c r="E79" s="6">
        <f t="shared" si="43"/>
        <v>0</v>
      </c>
      <c r="F79" s="6">
        <f t="shared" si="43"/>
        <v>0</v>
      </c>
      <c r="G79" s="6">
        <f t="shared" si="43"/>
        <v>0</v>
      </c>
      <c r="H79" s="6">
        <f t="shared" si="43"/>
        <v>0</v>
      </c>
      <c r="I79" s="6">
        <f t="shared" si="43"/>
        <v>0</v>
      </c>
      <c r="J79" s="6">
        <f t="shared" si="43"/>
        <v>0</v>
      </c>
      <c r="K79" s="6">
        <f t="shared" si="43"/>
        <v>0</v>
      </c>
      <c r="L79" s="6">
        <f t="shared" si="43"/>
        <v>0</v>
      </c>
      <c r="M79" s="6">
        <f t="shared" si="43"/>
        <v>0</v>
      </c>
      <c r="N79" s="6">
        <f t="shared" si="43"/>
        <v>0</v>
      </c>
      <c r="O79" s="6">
        <f t="shared" si="43"/>
        <v>0</v>
      </c>
      <c r="P79" s="6">
        <f t="shared" si="43"/>
        <v>0</v>
      </c>
      <c r="Q79" s="6">
        <f t="shared" si="43"/>
        <v>0</v>
      </c>
      <c r="R79" s="6">
        <f t="shared" si="43"/>
        <v>0</v>
      </c>
      <c r="S79" s="6">
        <f t="shared" si="43"/>
        <v>0</v>
      </c>
      <c r="T79" s="6">
        <f t="shared" si="43"/>
        <v>0</v>
      </c>
      <c r="U79" s="6">
        <f t="shared" si="43"/>
        <v>0</v>
      </c>
      <c r="V79" s="6">
        <f t="shared" si="43"/>
        <v>0</v>
      </c>
      <c r="W79" s="6">
        <f t="shared" si="43"/>
        <v>0</v>
      </c>
      <c r="X79" s="6">
        <f t="shared" si="43"/>
        <v>0</v>
      </c>
      <c r="Y79" s="6">
        <f t="shared" si="43"/>
        <v>0</v>
      </c>
      <c r="Z79" s="6">
        <f t="shared" si="43"/>
        <v>0</v>
      </c>
      <c r="AA79" s="6">
        <f t="shared" si="43"/>
        <v>0</v>
      </c>
      <c r="AB79" s="6">
        <f t="shared" si="43"/>
        <v>0</v>
      </c>
      <c r="AC79" s="6">
        <f t="shared" si="43"/>
        <v>0</v>
      </c>
      <c r="AD79" s="6">
        <f t="shared" si="43"/>
        <v>0</v>
      </c>
      <c r="AE79" s="6">
        <f t="shared" si="43"/>
        <v>0</v>
      </c>
      <c r="AF79" s="6">
        <f t="shared" si="43"/>
        <v>0</v>
      </c>
      <c r="AG79" s="6">
        <f t="shared" si="43"/>
        <v>0</v>
      </c>
      <c r="AH79" s="6">
        <f t="shared" si="43"/>
        <v>0</v>
      </c>
      <c r="AI79" s="6">
        <f t="shared" si="43"/>
        <v>0</v>
      </c>
      <c r="AJ79" s="6">
        <f t="shared" ref="AJ79:BK79" si="44">MIN(AJ73,MAX(AJ76-AJ77-AJ78,0))</f>
        <v>0</v>
      </c>
      <c r="AK79" s="6">
        <f t="shared" si="44"/>
        <v>0</v>
      </c>
      <c r="AL79" s="6">
        <f t="shared" si="44"/>
        <v>0</v>
      </c>
      <c r="AM79" s="6">
        <f t="shared" si="44"/>
        <v>0</v>
      </c>
      <c r="AN79" s="6">
        <f t="shared" si="44"/>
        <v>0</v>
      </c>
      <c r="AO79" s="6">
        <f t="shared" si="44"/>
        <v>0</v>
      </c>
      <c r="AP79" s="6">
        <f t="shared" si="44"/>
        <v>0</v>
      </c>
      <c r="AQ79" s="6">
        <f t="shared" si="44"/>
        <v>0</v>
      </c>
      <c r="AR79" s="6">
        <f t="shared" si="44"/>
        <v>0</v>
      </c>
      <c r="AS79" s="6">
        <f t="shared" si="44"/>
        <v>0</v>
      </c>
      <c r="AT79" s="6">
        <f t="shared" si="44"/>
        <v>0</v>
      </c>
      <c r="AU79" s="6">
        <f t="shared" si="44"/>
        <v>0</v>
      </c>
      <c r="AV79" s="6">
        <f t="shared" si="44"/>
        <v>0</v>
      </c>
      <c r="AW79" s="6">
        <f t="shared" si="44"/>
        <v>0</v>
      </c>
      <c r="AX79" s="6">
        <f t="shared" si="44"/>
        <v>0</v>
      </c>
      <c r="AY79" s="6">
        <f t="shared" si="44"/>
        <v>0</v>
      </c>
      <c r="AZ79" s="6">
        <f t="shared" si="44"/>
        <v>0</v>
      </c>
      <c r="BA79" s="6">
        <f t="shared" si="44"/>
        <v>0</v>
      </c>
      <c r="BB79" s="6">
        <f t="shared" si="44"/>
        <v>0</v>
      </c>
      <c r="BC79" s="6">
        <f t="shared" si="44"/>
        <v>0</v>
      </c>
      <c r="BD79" s="6">
        <f t="shared" si="44"/>
        <v>0</v>
      </c>
      <c r="BE79" s="6">
        <f t="shared" si="44"/>
        <v>0</v>
      </c>
      <c r="BF79" s="6">
        <f t="shared" si="44"/>
        <v>0</v>
      </c>
      <c r="BG79" s="6">
        <f t="shared" si="44"/>
        <v>0</v>
      </c>
      <c r="BH79" s="6">
        <f t="shared" si="44"/>
        <v>0</v>
      </c>
      <c r="BI79" s="6">
        <f t="shared" si="44"/>
        <v>0</v>
      </c>
      <c r="BJ79" s="6">
        <f t="shared" si="44"/>
        <v>0</v>
      </c>
      <c r="BK79" s="6">
        <f t="shared" si="44"/>
        <v>0</v>
      </c>
    </row>
    <row r="80" spans="2:63" x14ac:dyDescent="0.25">
      <c r="B80" s="1" t="s">
        <v>372</v>
      </c>
      <c r="D80" s="6">
        <f t="shared" ref="D80:AI80" si="45">MIN(D72,MAX(D76-D77-D78-D79,0))</f>
        <v>0</v>
      </c>
      <c r="E80" s="6">
        <f t="shared" si="45"/>
        <v>0</v>
      </c>
      <c r="F80" s="6">
        <f t="shared" si="45"/>
        <v>0</v>
      </c>
      <c r="G80" s="6">
        <f t="shared" si="45"/>
        <v>0</v>
      </c>
      <c r="H80" s="6">
        <f t="shared" si="45"/>
        <v>0</v>
      </c>
      <c r="I80" s="6">
        <f t="shared" si="45"/>
        <v>0</v>
      </c>
      <c r="J80" s="6">
        <f t="shared" si="45"/>
        <v>0</v>
      </c>
      <c r="K80" s="6">
        <f t="shared" si="45"/>
        <v>0</v>
      </c>
      <c r="L80" s="6">
        <f t="shared" si="45"/>
        <v>0</v>
      </c>
      <c r="M80" s="6">
        <f t="shared" si="45"/>
        <v>0</v>
      </c>
      <c r="N80" s="6">
        <f t="shared" si="45"/>
        <v>0</v>
      </c>
      <c r="O80" s="6">
        <f t="shared" si="45"/>
        <v>0</v>
      </c>
      <c r="P80" s="6">
        <f t="shared" si="45"/>
        <v>0</v>
      </c>
      <c r="Q80" s="6">
        <f t="shared" si="45"/>
        <v>0</v>
      </c>
      <c r="R80" s="6">
        <f t="shared" si="45"/>
        <v>0</v>
      </c>
      <c r="S80" s="6">
        <f t="shared" si="45"/>
        <v>0</v>
      </c>
      <c r="T80" s="6">
        <f t="shared" si="45"/>
        <v>0</v>
      </c>
      <c r="U80" s="6">
        <f t="shared" si="45"/>
        <v>0</v>
      </c>
      <c r="V80" s="6">
        <f t="shared" si="45"/>
        <v>0</v>
      </c>
      <c r="W80" s="6">
        <f t="shared" si="45"/>
        <v>0</v>
      </c>
      <c r="X80" s="6">
        <f t="shared" si="45"/>
        <v>0</v>
      </c>
      <c r="Y80" s="6">
        <f t="shared" si="45"/>
        <v>0</v>
      </c>
      <c r="Z80" s="6">
        <f t="shared" si="45"/>
        <v>0</v>
      </c>
      <c r="AA80" s="6">
        <f t="shared" si="45"/>
        <v>0</v>
      </c>
      <c r="AB80" s="6">
        <f t="shared" si="45"/>
        <v>0</v>
      </c>
      <c r="AC80" s="6">
        <f t="shared" si="45"/>
        <v>0</v>
      </c>
      <c r="AD80" s="6">
        <f t="shared" si="45"/>
        <v>0</v>
      </c>
      <c r="AE80" s="6">
        <f t="shared" si="45"/>
        <v>0</v>
      </c>
      <c r="AF80" s="6">
        <f t="shared" si="45"/>
        <v>0</v>
      </c>
      <c r="AG80" s="6">
        <f t="shared" si="45"/>
        <v>0</v>
      </c>
      <c r="AH80" s="6">
        <f t="shared" si="45"/>
        <v>0</v>
      </c>
      <c r="AI80" s="6">
        <f t="shared" si="45"/>
        <v>0</v>
      </c>
      <c r="AJ80" s="6">
        <f t="shared" ref="AJ80:BK80" si="46">MIN(AJ72,MAX(AJ76-AJ77-AJ78-AJ79,0))</f>
        <v>0</v>
      </c>
      <c r="AK80" s="6">
        <f t="shared" si="46"/>
        <v>0</v>
      </c>
      <c r="AL80" s="6">
        <f t="shared" si="46"/>
        <v>0</v>
      </c>
      <c r="AM80" s="6">
        <f t="shared" si="46"/>
        <v>0</v>
      </c>
      <c r="AN80" s="6">
        <f t="shared" si="46"/>
        <v>0</v>
      </c>
      <c r="AO80" s="6">
        <f t="shared" si="46"/>
        <v>0</v>
      </c>
      <c r="AP80" s="6">
        <f t="shared" si="46"/>
        <v>0</v>
      </c>
      <c r="AQ80" s="6">
        <f t="shared" si="46"/>
        <v>0</v>
      </c>
      <c r="AR80" s="6">
        <f t="shared" si="46"/>
        <v>0</v>
      </c>
      <c r="AS80" s="6">
        <f t="shared" si="46"/>
        <v>0</v>
      </c>
      <c r="AT80" s="6">
        <f t="shared" si="46"/>
        <v>0</v>
      </c>
      <c r="AU80" s="6">
        <f t="shared" si="46"/>
        <v>0</v>
      </c>
      <c r="AV80" s="6">
        <f t="shared" si="46"/>
        <v>0</v>
      </c>
      <c r="AW80" s="6">
        <f t="shared" si="46"/>
        <v>0</v>
      </c>
      <c r="AX80" s="6">
        <f t="shared" si="46"/>
        <v>0</v>
      </c>
      <c r="AY80" s="6">
        <f t="shared" si="46"/>
        <v>0</v>
      </c>
      <c r="AZ80" s="6">
        <f t="shared" si="46"/>
        <v>0</v>
      </c>
      <c r="BA80" s="6">
        <f t="shared" si="46"/>
        <v>0</v>
      </c>
      <c r="BB80" s="6">
        <f t="shared" si="46"/>
        <v>0</v>
      </c>
      <c r="BC80" s="6">
        <f t="shared" si="46"/>
        <v>0</v>
      </c>
      <c r="BD80" s="6">
        <f t="shared" si="46"/>
        <v>0</v>
      </c>
      <c r="BE80" s="6">
        <f t="shared" si="46"/>
        <v>0</v>
      </c>
      <c r="BF80" s="6">
        <f t="shared" si="46"/>
        <v>0</v>
      </c>
      <c r="BG80" s="6">
        <f t="shared" si="46"/>
        <v>0</v>
      </c>
      <c r="BH80" s="6">
        <f t="shared" si="46"/>
        <v>0</v>
      </c>
      <c r="BI80" s="6">
        <f t="shared" si="46"/>
        <v>0</v>
      </c>
      <c r="BJ80" s="6">
        <f t="shared" si="46"/>
        <v>0</v>
      </c>
      <c r="BK80" s="6">
        <f t="shared" si="46"/>
        <v>0</v>
      </c>
    </row>
    <row r="81" spans="2:63" x14ac:dyDescent="0.25">
      <c r="B81" s="1" t="s">
        <v>373</v>
      </c>
      <c r="D81" s="6">
        <f t="shared" ref="D81:AI81" si="47">MIN(D71,MAX(D76-D77-D78-D79-D80,0))</f>
        <v>0</v>
      </c>
      <c r="E81" s="6">
        <f t="shared" si="47"/>
        <v>0</v>
      </c>
      <c r="F81" s="6">
        <f t="shared" si="47"/>
        <v>0</v>
      </c>
      <c r="G81" s="6">
        <f t="shared" si="47"/>
        <v>0</v>
      </c>
      <c r="H81" s="6">
        <f t="shared" si="47"/>
        <v>0</v>
      </c>
      <c r="I81" s="6">
        <f t="shared" si="47"/>
        <v>0</v>
      </c>
      <c r="J81" s="6">
        <f t="shared" si="47"/>
        <v>0</v>
      </c>
      <c r="K81" s="6">
        <f t="shared" si="47"/>
        <v>0</v>
      </c>
      <c r="L81" s="6">
        <f t="shared" si="47"/>
        <v>0</v>
      </c>
      <c r="M81" s="6">
        <f t="shared" si="47"/>
        <v>0</v>
      </c>
      <c r="N81" s="6">
        <f t="shared" si="47"/>
        <v>0</v>
      </c>
      <c r="O81" s="6">
        <f t="shared" si="47"/>
        <v>0</v>
      </c>
      <c r="P81" s="6">
        <f t="shared" si="47"/>
        <v>0</v>
      </c>
      <c r="Q81" s="6">
        <f t="shared" si="47"/>
        <v>0</v>
      </c>
      <c r="R81" s="6">
        <f t="shared" si="47"/>
        <v>0</v>
      </c>
      <c r="S81" s="6">
        <f t="shared" si="47"/>
        <v>0</v>
      </c>
      <c r="T81" s="6">
        <f t="shared" si="47"/>
        <v>0</v>
      </c>
      <c r="U81" s="6">
        <f t="shared" si="47"/>
        <v>0</v>
      </c>
      <c r="V81" s="6">
        <f t="shared" si="47"/>
        <v>0</v>
      </c>
      <c r="W81" s="6">
        <f t="shared" si="47"/>
        <v>0</v>
      </c>
      <c r="X81" s="6">
        <f t="shared" si="47"/>
        <v>0</v>
      </c>
      <c r="Y81" s="6">
        <f t="shared" si="47"/>
        <v>0</v>
      </c>
      <c r="Z81" s="6">
        <f t="shared" si="47"/>
        <v>0</v>
      </c>
      <c r="AA81" s="6">
        <f t="shared" si="47"/>
        <v>0</v>
      </c>
      <c r="AB81" s="6">
        <f t="shared" si="47"/>
        <v>0</v>
      </c>
      <c r="AC81" s="6">
        <f t="shared" si="47"/>
        <v>0</v>
      </c>
      <c r="AD81" s="6">
        <f t="shared" si="47"/>
        <v>0</v>
      </c>
      <c r="AE81" s="6">
        <f t="shared" si="47"/>
        <v>0</v>
      </c>
      <c r="AF81" s="6">
        <f t="shared" si="47"/>
        <v>0</v>
      </c>
      <c r="AG81" s="6">
        <f t="shared" si="47"/>
        <v>0</v>
      </c>
      <c r="AH81" s="6">
        <f t="shared" si="47"/>
        <v>0</v>
      </c>
      <c r="AI81" s="6">
        <f t="shared" si="47"/>
        <v>0</v>
      </c>
      <c r="AJ81" s="6">
        <f t="shared" ref="AJ81:BK81" si="48">MIN(AJ71,MAX(AJ76-AJ77-AJ78-AJ79-AJ80,0))</f>
        <v>0</v>
      </c>
      <c r="AK81" s="6">
        <f t="shared" si="48"/>
        <v>0</v>
      </c>
      <c r="AL81" s="6">
        <f t="shared" si="48"/>
        <v>0</v>
      </c>
      <c r="AM81" s="6">
        <f t="shared" si="48"/>
        <v>0</v>
      </c>
      <c r="AN81" s="6">
        <f t="shared" si="48"/>
        <v>0</v>
      </c>
      <c r="AO81" s="6">
        <f t="shared" si="48"/>
        <v>0</v>
      </c>
      <c r="AP81" s="6">
        <f t="shared" si="48"/>
        <v>0</v>
      </c>
      <c r="AQ81" s="6">
        <f t="shared" si="48"/>
        <v>0</v>
      </c>
      <c r="AR81" s="6">
        <f t="shared" si="48"/>
        <v>0</v>
      </c>
      <c r="AS81" s="6">
        <f t="shared" si="48"/>
        <v>0</v>
      </c>
      <c r="AT81" s="6">
        <f t="shared" si="48"/>
        <v>0</v>
      </c>
      <c r="AU81" s="6">
        <f t="shared" si="48"/>
        <v>0</v>
      </c>
      <c r="AV81" s="6">
        <f t="shared" si="48"/>
        <v>0</v>
      </c>
      <c r="AW81" s="6">
        <f t="shared" si="48"/>
        <v>0</v>
      </c>
      <c r="AX81" s="6">
        <f t="shared" si="48"/>
        <v>0</v>
      </c>
      <c r="AY81" s="6">
        <f t="shared" si="48"/>
        <v>0</v>
      </c>
      <c r="AZ81" s="6">
        <f t="shared" si="48"/>
        <v>0</v>
      </c>
      <c r="BA81" s="6">
        <f t="shared" si="48"/>
        <v>0</v>
      </c>
      <c r="BB81" s="6">
        <f t="shared" si="48"/>
        <v>0</v>
      </c>
      <c r="BC81" s="6">
        <f t="shared" si="48"/>
        <v>0</v>
      </c>
      <c r="BD81" s="6">
        <f t="shared" si="48"/>
        <v>0</v>
      </c>
      <c r="BE81" s="6">
        <f t="shared" si="48"/>
        <v>0</v>
      </c>
      <c r="BF81" s="6">
        <f t="shared" si="48"/>
        <v>0</v>
      </c>
      <c r="BG81" s="6">
        <f t="shared" si="48"/>
        <v>0</v>
      </c>
      <c r="BH81" s="6">
        <f t="shared" si="48"/>
        <v>0</v>
      </c>
      <c r="BI81" s="6">
        <f t="shared" si="48"/>
        <v>0</v>
      </c>
      <c r="BJ81" s="6">
        <f t="shared" si="48"/>
        <v>0</v>
      </c>
      <c r="BK81" s="6">
        <f t="shared" si="48"/>
        <v>0</v>
      </c>
    </row>
    <row r="82" spans="2:63" x14ac:dyDescent="0.25">
      <c r="B82" s="1" t="s">
        <v>374</v>
      </c>
      <c r="D82" s="6">
        <f t="shared" ref="D82:AI82" si="49">MAX(D76-(D71+D72+D73+D74+D75),0)</f>
        <v>0</v>
      </c>
      <c r="E82" s="6">
        <f t="shared" si="49"/>
        <v>0</v>
      </c>
      <c r="F82" s="6">
        <f t="shared" si="49"/>
        <v>0</v>
      </c>
      <c r="G82" s="6">
        <f t="shared" si="49"/>
        <v>0</v>
      </c>
      <c r="H82" s="6">
        <f t="shared" si="49"/>
        <v>0</v>
      </c>
      <c r="I82" s="6">
        <f t="shared" si="49"/>
        <v>0</v>
      </c>
      <c r="J82" s="6">
        <f t="shared" si="49"/>
        <v>0</v>
      </c>
      <c r="K82" s="6">
        <f t="shared" si="49"/>
        <v>0</v>
      </c>
      <c r="L82" s="6">
        <f t="shared" si="49"/>
        <v>0</v>
      </c>
      <c r="M82" s="6">
        <f t="shared" si="49"/>
        <v>0</v>
      </c>
      <c r="N82" s="6">
        <f t="shared" si="49"/>
        <v>0</v>
      </c>
      <c r="O82" s="6">
        <f t="shared" si="49"/>
        <v>0</v>
      </c>
      <c r="P82" s="6">
        <f t="shared" si="49"/>
        <v>0</v>
      </c>
      <c r="Q82" s="6">
        <f t="shared" si="49"/>
        <v>0</v>
      </c>
      <c r="R82" s="6">
        <f t="shared" si="49"/>
        <v>0</v>
      </c>
      <c r="S82" s="6">
        <f t="shared" si="49"/>
        <v>0</v>
      </c>
      <c r="T82" s="6">
        <f t="shared" si="49"/>
        <v>0</v>
      </c>
      <c r="U82" s="6">
        <f t="shared" si="49"/>
        <v>0</v>
      </c>
      <c r="V82" s="6">
        <f t="shared" si="49"/>
        <v>0</v>
      </c>
      <c r="W82" s="6">
        <f t="shared" si="49"/>
        <v>0</v>
      </c>
      <c r="X82" s="6">
        <f t="shared" si="49"/>
        <v>0</v>
      </c>
      <c r="Y82" s="6">
        <f t="shared" si="49"/>
        <v>0</v>
      </c>
      <c r="Z82" s="6">
        <f t="shared" si="49"/>
        <v>0</v>
      </c>
      <c r="AA82" s="6">
        <f t="shared" si="49"/>
        <v>0</v>
      </c>
      <c r="AB82" s="6">
        <f t="shared" si="49"/>
        <v>0</v>
      </c>
      <c r="AC82" s="6">
        <f t="shared" si="49"/>
        <v>0</v>
      </c>
      <c r="AD82" s="6">
        <f t="shared" si="49"/>
        <v>0</v>
      </c>
      <c r="AE82" s="6">
        <f t="shared" si="49"/>
        <v>0</v>
      </c>
      <c r="AF82" s="6">
        <f t="shared" si="49"/>
        <v>0</v>
      </c>
      <c r="AG82" s="6">
        <f t="shared" si="49"/>
        <v>0</v>
      </c>
      <c r="AH82" s="6">
        <f t="shared" si="49"/>
        <v>0</v>
      </c>
      <c r="AI82" s="6">
        <f t="shared" si="49"/>
        <v>0</v>
      </c>
      <c r="AJ82" s="6">
        <f t="shared" ref="AJ82:BK82" si="50">MAX(AJ76-(AJ71+AJ72+AJ73+AJ74+AJ75),0)</f>
        <v>0</v>
      </c>
      <c r="AK82" s="6">
        <f t="shared" si="50"/>
        <v>0</v>
      </c>
      <c r="AL82" s="6">
        <f t="shared" si="50"/>
        <v>0</v>
      </c>
      <c r="AM82" s="6">
        <f t="shared" si="50"/>
        <v>0</v>
      </c>
      <c r="AN82" s="6">
        <f t="shared" si="50"/>
        <v>0</v>
      </c>
      <c r="AO82" s="6">
        <f t="shared" si="50"/>
        <v>0</v>
      </c>
      <c r="AP82" s="6">
        <f t="shared" si="50"/>
        <v>0</v>
      </c>
      <c r="AQ82" s="6">
        <f t="shared" si="50"/>
        <v>0</v>
      </c>
      <c r="AR82" s="6">
        <f t="shared" si="50"/>
        <v>0</v>
      </c>
      <c r="AS82" s="6">
        <f t="shared" si="50"/>
        <v>0</v>
      </c>
      <c r="AT82" s="6">
        <f t="shared" si="50"/>
        <v>0</v>
      </c>
      <c r="AU82" s="6">
        <f t="shared" si="50"/>
        <v>0</v>
      </c>
      <c r="AV82" s="6">
        <f t="shared" si="50"/>
        <v>0</v>
      </c>
      <c r="AW82" s="6">
        <f t="shared" si="50"/>
        <v>0</v>
      </c>
      <c r="AX82" s="6">
        <f t="shared" si="50"/>
        <v>0</v>
      </c>
      <c r="AY82" s="6">
        <f t="shared" si="50"/>
        <v>0</v>
      </c>
      <c r="AZ82" s="6">
        <f t="shared" si="50"/>
        <v>0</v>
      </c>
      <c r="BA82" s="6">
        <f t="shared" si="50"/>
        <v>0</v>
      </c>
      <c r="BB82" s="6">
        <f t="shared" si="50"/>
        <v>0</v>
      </c>
      <c r="BC82" s="6">
        <f t="shared" si="50"/>
        <v>0</v>
      </c>
      <c r="BD82" s="6">
        <f t="shared" si="50"/>
        <v>0</v>
      </c>
      <c r="BE82" s="6">
        <f t="shared" si="50"/>
        <v>0</v>
      </c>
      <c r="BF82" s="6">
        <f t="shared" si="50"/>
        <v>0</v>
      </c>
      <c r="BG82" s="6">
        <f t="shared" si="50"/>
        <v>0</v>
      </c>
      <c r="BH82" s="6">
        <f t="shared" si="50"/>
        <v>0</v>
      </c>
      <c r="BI82" s="6">
        <f t="shared" si="50"/>
        <v>0</v>
      </c>
      <c r="BJ82" s="6">
        <f t="shared" si="50"/>
        <v>0</v>
      </c>
      <c r="BK82" s="6">
        <f t="shared" si="50"/>
        <v>0</v>
      </c>
    </row>
    <row r="83" spans="2:63" x14ac:dyDescent="0.25">
      <c r="B83" s="1" t="s">
        <v>375</v>
      </c>
      <c r="D83" s="6">
        <f t="shared" ref="D83:AI83" si="51">MAX(-D70,0)</f>
        <v>0</v>
      </c>
      <c r="E83" s="6">
        <f t="shared" si="51"/>
        <v>0</v>
      </c>
      <c r="F83" s="6">
        <f t="shared" si="51"/>
        <v>5435488874.9534569</v>
      </c>
      <c r="G83" s="6">
        <f t="shared" si="51"/>
        <v>29849893071.619404</v>
      </c>
      <c r="H83" s="6">
        <f t="shared" si="51"/>
        <v>11844836173.336075</v>
      </c>
      <c r="I83" s="6">
        <f t="shared" si="51"/>
        <v>0</v>
      </c>
      <c r="J83" s="6">
        <f t="shared" si="51"/>
        <v>0</v>
      </c>
      <c r="K83" s="6">
        <f t="shared" si="51"/>
        <v>0</v>
      </c>
      <c r="L83" s="6">
        <f t="shared" si="51"/>
        <v>0</v>
      </c>
      <c r="M83" s="6">
        <f t="shared" si="51"/>
        <v>0</v>
      </c>
      <c r="N83" s="6">
        <f t="shared" si="51"/>
        <v>0</v>
      </c>
      <c r="O83" s="6">
        <f t="shared" si="51"/>
        <v>0</v>
      </c>
      <c r="P83" s="6">
        <f t="shared" si="51"/>
        <v>0</v>
      </c>
      <c r="Q83" s="6">
        <f t="shared" si="51"/>
        <v>0</v>
      </c>
      <c r="R83" s="6">
        <f t="shared" si="51"/>
        <v>0</v>
      </c>
      <c r="S83" s="6">
        <f t="shared" si="51"/>
        <v>0</v>
      </c>
      <c r="T83" s="6">
        <f t="shared" si="51"/>
        <v>0</v>
      </c>
      <c r="U83" s="6">
        <f t="shared" si="51"/>
        <v>0</v>
      </c>
      <c r="V83" s="6">
        <f t="shared" si="51"/>
        <v>0</v>
      </c>
      <c r="W83" s="6">
        <f t="shared" si="51"/>
        <v>0</v>
      </c>
      <c r="X83" s="6">
        <f t="shared" si="51"/>
        <v>0</v>
      </c>
      <c r="Y83" s="6">
        <f t="shared" si="51"/>
        <v>0</v>
      </c>
      <c r="Z83" s="6">
        <f t="shared" si="51"/>
        <v>0</v>
      </c>
      <c r="AA83" s="6">
        <f t="shared" si="51"/>
        <v>0</v>
      </c>
      <c r="AB83" s="6">
        <f t="shared" si="51"/>
        <v>0</v>
      </c>
      <c r="AC83" s="6">
        <f t="shared" si="51"/>
        <v>0</v>
      </c>
      <c r="AD83" s="6">
        <f t="shared" si="51"/>
        <v>0</v>
      </c>
      <c r="AE83" s="6">
        <f t="shared" si="51"/>
        <v>0</v>
      </c>
      <c r="AF83" s="6">
        <f t="shared" si="51"/>
        <v>0</v>
      </c>
      <c r="AG83" s="6">
        <f t="shared" si="51"/>
        <v>0</v>
      </c>
      <c r="AH83" s="6">
        <f t="shared" si="51"/>
        <v>0</v>
      </c>
      <c r="AI83" s="6">
        <f t="shared" si="51"/>
        <v>0</v>
      </c>
      <c r="AJ83" s="6">
        <f t="shared" ref="AJ83:BK83" si="52">MAX(-AJ70,0)</f>
        <v>0</v>
      </c>
      <c r="AK83" s="6">
        <f t="shared" si="52"/>
        <v>0</v>
      </c>
      <c r="AL83" s="6">
        <f t="shared" si="52"/>
        <v>0</v>
      </c>
      <c r="AM83" s="6">
        <f t="shared" si="52"/>
        <v>0</v>
      </c>
      <c r="AN83" s="6">
        <f t="shared" si="52"/>
        <v>0</v>
      </c>
      <c r="AO83" s="6">
        <f t="shared" si="52"/>
        <v>0</v>
      </c>
      <c r="AP83" s="6">
        <f t="shared" si="52"/>
        <v>0</v>
      </c>
      <c r="AQ83" s="6">
        <f t="shared" si="52"/>
        <v>0</v>
      </c>
      <c r="AR83" s="6">
        <f t="shared" si="52"/>
        <v>0</v>
      </c>
      <c r="AS83" s="6">
        <f t="shared" si="52"/>
        <v>0</v>
      </c>
      <c r="AT83" s="6">
        <f t="shared" si="52"/>
        <v>0</v>
      </c>
      <c r="AU83" s="6">
        <f t="shared" si="52"/>
        <v>0</v>
      </c>
      <c r="AV83" s="6">
        <f t="shared" si="52"/>
        <v>0</v>
      </c>
      <c r="AW83" s="6">
        <f t="shared" si="52"/>
        <v>0</v>
      </c>
      <c r="AX83" s="6">
        <f t="shared" si="52"/>
        <v>0</v>
      </c>
      <c r="AY83" s="6">
        <f t="shared" si="52"/>
        <v>0</v>
      </c>
      <c r="AZ83" s="6">
        <f t="shared" si="52"/>
        <v>0</v>
      </c>
      <c r="BA83" s="6">
        <f t="shared" si="52"/>
        <v>0</v>
      </c>
      <c r="BB83" s="6">
        <f t="shared" si="52"/>
        <v>0</v>
      </c>
      <c r="BC83" s="6">
        <f t="shared" si="52"/>
        <v>0</v>
      </c>
      <c r="BD83" s="6">
        <f t="shared" si="52"/>
        <v>0</v>
      </c>
      <c r="BE83" s="6">
        <f t="shared" si="52"/>
        <v>0</v>
      </c>
      <c r="BF83" s="6">
        <f t="shared" si="52"/>
        <v>0</v>
      </c>
      <c r="BG83" s="6">
        <f t="shared" si="52"/>
        <v>0</v>
      </c>
      <c r="BH83" s="6">
        <f t="shared" si="52"/>
        <v>0</v>
      </c>
      <c r="BI83" s="6">
        <f t="shared" si="52"/>
        <v>0</v>
      </c>
      <c r="BJ83" s="6">
        <f t="shared" si="52"/>
        <v>0</v>
      </c>
      <c r="BK83" s="6">
        <f t="shared" si="52"/>
        <v>0</v>
      </c>
    </row>
    <row r="84" spans="2:63" x14ac:dyDescent="0.25">
      <c r="B84" s="4" t="s">
        <v>376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</v>
      </c>
      <c r="H84" s="4" t="s">
        <v>1</v>
      </c>
      <c r="I84" s="4" t="s">
        <v>1</v>
      </c>
      <c r="J84" s="4" t="s">
        <v>1</v>
      </c>
      <c r="K84" s="4" t="s">
        <v>1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4" t="s">
        <v>1</v>
      </c>
      <c r="U84" s="4" t="s">
        <v>1</v>
      </c>
      <c r="V84" s="4" t="s">
        <v>1</v>
      </c>
      <c r="W84" s="4" t="s">
        <v>1</v>
      </c>
      <c r="X84" s="4" t="s">
        <v>1</v>
      </c>
      <c r="Y84" s="4" t="s">
        <v>1</v>
      </c>
      <c r="Z84" s="4" t="s">
        <v>1</v>
      </c>
      <c r="AA84" s="4" t="s">
        <v>1</v>
      </c>
      <c r="AB84" s="4" t="s">
        <v>1</v>
      </c>
      <c r="AC84" s="4" t="s">
        <v>1</v>
      </c>
      <c r="AD84" s="4" t="s">
        <v>1</v>
      </c>
      <c r="AE84" s="4" t="s">
        <v>1</v>
      </c>
      <c r="AF84" s="4" t="s">
        <v>1</v>
      </c>
      <c r="AG84" s="4" t="s">
        <v>1</v>
      </c>
      <c r="AH84" s="4" t="s">
        <v>1</v>
      </c>
      <c r="AI84" s="4" t="s">
        <v>1</v>
      </c>
      <c r="AJ84" s="4" t="s">
        <v>1</v>
      </c>
      <c r="AK84" s="4" t="s">
        <v>1</v>
      </c>
      <c r="AL84" s="4" t="s">
        <v>1</v>
      </c>
      <c r="AM84" s="4" t="s">
        <v>1</v>
      </c>
      <c r="AN84" s="4" t="s">
        <v>1</v>
      </c>
      <c r="AO84" s="4" t="s">
        <v>1</v>
      </c>
      <c r="AP84" s="4" t="s">
        <v>1</v>
      </c>
      <c r="AQ84" s="4" t="s">
        <v>1</v>
      </c>
      <c r="AR84" s="4" t="s">
        <v>1</v>
      </c>
      <c r="AS84" s="4" t="s">
        <v>1</v>
      </c>
      <c r="AT84" s="4" t="s">
        <v>1</v>
      </c>
      <c r="AU84" s="4" t="s">
        <v>1</v>
      </c>
      <c r="AV84" s="4" t="s">
        <v>1</v>
      </c>
      <c r="AW84" s="4" t="s">
        <v>1</v>
      </c>
      <c r="AX84" s="4" t="s">
        <v>1</v>
      </c>
      <c r="AY84" s="4" t="s">
        <v>1</v>
      </c>
      <c r="AZ84" s="4" t="s">
        <v>1</v>
      </c>
      <c r="BA84" s="4" t="s">
        <v>1</v>
      </c>
      <c r="BB84" s="4" t="s">
        <v>1</v>
      </c>
      <c r="BC84" s="4" t="s">
        <v>1</v>
      </c>
      <c r="BD84" s="4" t="s">
        <v>1</v>
      </c>
      <c r="BE84" s="4" t="s">
        <v>1</v>
      </c>
      <c r="BF84" s="4" t="s">
        <v>1</v>
      </c>
      <c r="BG84" s="4" t="s">
        <v>1</v>
      </c>
      <c r="BH84" s="4" t="s">
        <v>1</v>
      </c>
      <c r="BI84" s="4" t="s">
        <v>1</v>
      </c>
      <c r="BJ84" s="4" t="s">
        <v>1</v>
      </c>
      <c r="BK84" s="4" t="s">
        <v>1</v>
      </c>
    </row>
    <row r="85" spans="2:63" x14ac:dyDescent="0.25">
      <c r="B85" s="1" t="s">
        <v>377</v>
      </c>
      <c r="D85" s="6">
        <f>($C$126*INPUT!$C$65/100*TIENDO!C5+$C$128*INPUT!$C$66/100*TIENDO!C7+$C$129*INPUT!$C$67/100*TIENDO!C8+$C$130*INPUT!$C$67/100*TIENDO!C9+$C$131*INPUT!$C$68/100*TIENDO!C10+$C$132*INPUT!$C$69/100*TIENDO!C11)/100</f>
        <v>0</v>
      </c>
      <c r="E85" s="6">
        <f>($C$126*INPUT!$C$65/100*TIENDO!D5+$C$128*INPUT!$C$66/100*TIENDO!D7+$C$129*INPUT!$C$67/100*TIENDO!D8+$C$130*INPUT!$C$67/100*TIENDO!D9+$C$131*INPUT!$C$68/100*TIENDO!D10+$C$132*INPUT!$C$69/100*TIENDO!D11)/100</f>
        <v>0</v>
      </c>
      <c r="F85" s="6">
        <f>($C$126*INPUT!$C$65/100*TIENDO!E5+$C$128*INPUT!$C$66/100*TIENDO!E7+$C$129*INPUT!$C$67/100*TIENDO!E8+$C$130*INPUT!$C$67/100*TIENDO!E9+$C$131*INPUT!$C$68/100*TIENDO!E10+$C$132*INPUT!$C$69/100*TIENDO!E11)/100</f>
        <v>324419667950</v>
      </c>
      <c r="G85" s="6">
        <f>($C$126*INPUT!$C$65/100*TIENDO!F5+$C$128*INPUT!$C$66/100*TIENDO!F7+$C$129*INPUT!$C$67/100*TIENDO!F8+$C$130*INPUT!$C$67/100*TIENDO!F9+$C$131*INPUT!$C$68/100*TIENDO!F10+$C$132*INPUT!$C$69/100*TIENDO!F11)/100</f>
        <v>155317984937.5</v>
      </c>
      <c r="H85" s="6">
        <f>($C$126*INPUT!$C$65/100*TIENDO!G5+$C$128*INPUT!$C$66/100*TIENDO!G7+$C$129*INPUT!$C$67/100*TIENDO!G8+$C$130*INPUT!$C$67/100*TIENDO!G9+$C$131*INPUT!$C$68/100*TIENDO!G10+$C$132*INPUT!$C$69/100*TIENDO!G11)/100</f>
        <v>33247316987.5</v>
      </c>
      <c r="I85" s="6">
        <f>($C$126*INPUT!$C$65/100*TIENDO!H5+$C$128*INPUT!$C$66/100*TIENDO!H7+$C$129*INPUT!$C$67/100*TIENDO!H8+$C$130*INPUT!$C$67/100*TIENDO!H9+$C$131*INPUT!$C$68/100*TIENDO!H10+$C$132*INPUT!$C$69/100*TIENDO!H11)/100</f>
        <v>0</v>
      </c>
      <c r="J85" s="6">
        <f>($C$126*INPUT!$C$65/100*TIENDO!I5+$C$128*INPUT!$C$66/100*TIENDO!I7+$C$129*INPUT!$C$67/100*TIENDO!I8+$C$130*INPUT!$C$67/100*TIENDO!I9+$C$131*INPUT!$C$68/100*TIENDO!I10+$C$132*INPUT!$C$69/100*TIENDO!I11)/100</f>
        <v>0</v>
      </c>
      <c r="K85" s="6">
        <f>($C$126*INPUT!$C$65/100*TIENDO!J5+$C$128*INPUT!$C$66/100*TIENDO!J7+$C$129*INPUT!$C$67/100*TIENDO!J8+$C$130*INPUT!$C$67/100*TIENDO!J9+$C$131*INPUT!$C$68/100*TIENDO!J10+$C$132*INPUT!$C$69/100*TIENDO!J11)/100</f>
        <v>0</v>
      </c>
      <c r="L85" s="6">
        <f>($C$126*INPUT!$C$65/100*TIENDO!K5+$C$128*INPUT!$C$66/100*TIENDO!K7+$C$129*INPUT!$C$67/100*TIENDO!K8+$C$130*INPUT!$C$67/100*TIENDO!K9+$C$131*INPUT!$C$68/100*TIENDO!K10+$C$132*INPUT!$C$69/100*TIENDO!K11)/100</f>
        <v>0</v>
      </c>
      <c r="M85" s="6">
        <f>($C$126*INPUT!$C$65/100*TIENDO!L5+$C$128*INPUT!$C$66/100*TIENDO!L7+$C$129*INPUT!$C$67/100*TIENDO!L8+$C$130*INPUT!$C$67/100*TIENDO!L9+$C$131*INPUT!$C$68/100*TIENDO!L10+$C$132*INPUT!$C$69/100*TIENDO!L11)/100</f>
        <v>0</v>
      </c>
      <c r="N85" s="6">
        <f>($C$126*INPUT!$C$65/100*TIENDO!M5+$C$128*INPUT!$C$66/100*TIENDO!M7+$C$129*INPUT!$C$67/100*TIENDO!M8+$C$130*INPUT!$C$67/100*TIENDO!M9+$C$131*INPUT!$C$68/100*TIENDO!M10+$C$132*INPUT!$C$69/100*TIENDO!M11)/100</f>
        <v>0</v>
      </c>
      <c r="O85" s="6">
        <f>($C$126*INPUT!$C$65/100*TIENDO!N5+$C$128*INPUT!$C$66/100*TIENDO!N7+$C$129*INPUT!$C$67/100*TIENDO!N8+$C$130*INPUT!$C$67/100*TIENDO!N9+$C$131*INPUT!$C$68/100*TIENDO!N10+$C$132*INPUT!$C$69/100*TIENDO!N11)/100</f>
        <v>0</v>
      </c>
      <c r="P85" s="6">
        <f>($C$126*INPUT!$C$65/100*TIENDO!O5+$C$128*INPUT!$C$66/100*TIENDO!O7+$C$129*INPUT!$C$67/100*TIENDO!O8+$C$130*INPUT!$C$67/100*TIENDO!O9+$C$131*INPUT!$C$68/100*TIENDO!O10+$C$132*INPUT!$C$69/100*TIENDO!O11)/100</f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</row>
    <row r="86" spans="2:63" x14ac:dyDescent="0.25">
      <c r="B86" s="1" t="s">
        <v>378</v>
      </c>
      <c r="D86" s="6">
        <f>($C$124*TIENDO!C3+$C$125*TIENDO!C4)/100</f>
        <v>200000000000</v>
      </c>
      <c r="E86" s="6">
        <f>($C$124*TIENDO!D3+$C$125*TIENDO!D4)/100</f>
        <v>200000000000</v>
      </c>
      <c r="F86" s="6">
        <f>($C$124*TIENDO!E3+$C$125*TIENDO!E4)/100</f>
        <v>0</v>
      </c>
      <c r="G86" s="6">
        <f>($C$124*TIENDO!F3+$C$125*TIENDO!F4)/100</f>
        <v>0</v>
      </c>
      <c r="H86" s="6">
        <f>($C$124*TIENDO!G3+$C$125*TIENDO!G4)/100</f>
        <v>0</v>
      </c>
      <c r="I86" s="6">
        <f>($C$124*TIENDO!H3+$C$125*TIENDO!H4)/100</f>
        <v>0</v>
      </c>
      <c r="J86" s="6">
        <f>($C$124*TIENDO!I3+$C$125*TIENDO!I4)/100</f>
        <v>0</v>
      </c>
      <c r="K86" s="6">
        <f>($C$124*TIENDO!J3+$C$125*TIENDO!J4)/100</f>
        <v>0</v>
      </c>
      <c r="L86" s="6">
        <f>($C$124*TIENDO!K3+$C$125*TIENDO!K4)/100</f>
        <v>0</v>
      </c>
      <c r="M86" s="6">
        <f>($C$124*TIENDO!L3+$C$125*TIENDO!L4)/100</f>
        <v>0</v>
      </c>
      <c r="N86" s="6">
        <f>($C$124*TIENDO!M3+$C$125*TIENDO!M4)/100</f>
        <v>0</v>
      </c>
      <c r="O86" s="6">
        <f>($C$124*TIENDO!N3+$C$125*TIENDO!N4)/100</f>
        <v>0</v>
      </c>
      <c r="P86" s="6">
        <f>($C$124*TIENDO!O3+$C$125*TIENDO!O4)/100</f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</row>
    <row r="87" spans="2:63" x14ac:dyDescent="0.25">
      <c r="B87" s="1" t="s">
        <v>379</v>
      </c>
      <c r="D87" s="6">
        <f t="shared" ref="D87:AI87" si="53">D13+D20</f>
        <v>200000000000</v>
      </c>
      <c r="E87" s="6">
        <f t="shared" si="53"/>
        <v>215000000000</v>
      </c>
      <c r="F87" s="6">
        <f t="shared" si="53"/>
        <v>478456668500</v>
      </c>
      <c r="G87" s="6">
        <f t="shared" si="53"/>
        <v>236882835625</v>
      </c>
      <c r="H87" s="6">
        <f t="shared" si="53"/>
        <v>62496167125</v>
      </c>
      <c r="I87" s="6">
        <f t="shared" si="53"/>
        <v>0</v>
      </c>
      <c r="J87" s="6">
        <f t="shared" si="53"/>
        <v>0</v>
      </c>
      <c r="K87" s="6">
        <f t="shared" si="53"/>
        <v>0</v>
      </c>
      <c r="L87" s="6">
        <f t="shared" si="53"/>
        <v>0</v>
      </c>
      <c r="M87" s="6">
        <f t="shared" si="53"/>
        <v>0</v>
      </c>
      <c r="N87" s="6">
        <f t="shared" si="53"/>
        <v>0</v>
      </c>
      <c r="O87" s="6">
        <f t="shared" si="53"/>
        <v>0</v>
      </c>
      <c r="P87" s="6">
        <f t="shared" si="53"/>
        <v>0</v>
      </c>
      <c r="Q87" s="6">
        <f t="shared" si="53"/>
        <v>0</v>
      </c>
      <c r="R87" s="6">
        <f t="shared" si="53"/>
        <v>0</v>
      </c>
      <c r="S87" s="6">
        <f t="shared" si="53"/>
        <v>0</v>
      </c>
      <c r="T87" s="6">
        <f t="shared" si="53"/>
        <v>0</v>
      </c>
      <c r="U87" s="6">
        <f t="shared" si="53"/>
        <v>0</v>
      </c>
      <c r="V87" s="6">
        <f t="shared" si="53"/>
        <v>0</v>
      </c>
      <c r="W87" s="6">
        <f t="shared" si="53"/>
        <v>0</v>
      </c>
      <c r="X87" s="6">
        <f t="shared" si="53"/>
        <v>0</v>
      </c>
      <c r="Y87" s="6">
        <f t="shared" si="53"/>
        <v>0</v>
      </c>
      <c r="Z87" s="6">
        <f t="shared" si="53"/>
        <v>0</v>
      </c>
      <c r="AA87" s="6">
        <f t="shared" si="53"/>
        <v>0</v>
      </c>
      <c r="AB87" s="6">
        <f t="shared" si="53"/>
        <v>0</v>
      </c>
      <c r="AC87" s="6">
        <f t="shared" si="53"/>
        <v>0</v>
      </c>
      <c r="AD87" s="6">
        <f t="shared" si="53"/>
        <v>0</v>
      </c>
      <c r="AE87" s="6">
        <f t="shared" si="53"/>
        <v>0</v>
      </c>
      <c r="AF87" s="6">
        <f t="shared" si="53"/>
        <v>0</v>
      </c>
      <c r="AG87" s="6">
        <f t="shared" si="53"/>
        <v>0</v>
      </c>
      <c r="AH87" s="6">
        <f t="shared" si="53"/>
        <v>0</v>
      </c>
      <c r="AI87" s="6">
        <f t="shared" si="53"/>
        <v>0</v>
      </c>
      <c r="AJ87" s="6">
        <f t="shared" ref="AJ87:BK87" si="54">AJ13+AJ20</f>
        <v>0</v>
      </c>
      <c r="AK87" s="6">
        <f t="shared" si="54"/>
        <v>0</v>
      </c>
      <c r="AL87" s="6">
        <f t="shared" si="54"/>
        <v>0</v>
      </c>
      <c r="AM87" s="6">
        <f t="shared" si="54"/>
        <v>0</v>
      </c>
      <c r="AN87" s="6">
        <f t="shared" si="54"/>
        <v>0</v>
      </c>
      <c r="AO87" s="6">
        <f t="shared" si="54"/>
        <v>0</v>
      </c>
      <c r="AP87" s="6">
        <f t="shared" si="54"/>
        <v>0</v>
      </c>
      <c r="AQ87" s="6">
        <f t="shared" si="54"/>
        <v>0</v>
      </c>
      <c r="AR87" s="6">
        <f t="shared" si="54"/>
        <v>0</v>
      </c>
      <c r="AS87" s="6">
        <f t="shared" si="54"/>
        <v>0</v>
      </c>
      <c r="AT87" s="6">
        <f t="shared" si="54"/>
        <v>0</v>
      </c>
      <c r="AU87" s="6">
        <f t="shared" si="54"/>
        <v>0</v>
      </c>
      <c r="AV87" s="6">
        <f t="shared" si="54"/>
        <v>0</v>
      </c>
      <c r="AW87" s="6">
        <f t="shared" si="54"/>
        <v>0</v>
      </c>
      <c r="AX87" s="6">
        <f t="shared" si="54"/>
        <v>0</v>
      </c>
      <c r="AY87" s="6">
        <f t="shared" si="54"/>
        <v>0</v>
      </c>
      <c r="AZ87" s="6">
        <f t="shared" si="54"/>
        <v>0</v>
      </c>
      <c r="BA87" s="6">
        <f t="shared" si="54"/>
        <v>0</v>
      </c>
      <c r="BB87" s="6">
        <f t="shared" si="54"/>
        <v>0</v>
      </c>
      <c r="BC87" s="6">
        <f t="shared" si="54"/>
        <v>0</v>
      </c>
      <c r="BD87" s="6">
        <f t="shared" si="54"/>
        <v>0</v>
      </c>
      <c r="BE87" s="6">
        <f t="shared" si="54"/>
        <v>0</v>
      </c>
      <c r="BF87" s="6">
        <f t="shared" si="54"/>
        <v>0</v>
      </c>
      <c r="BG87" s="6">
        <f t="shared" si="54"/>
        <v>0</v>
      </c>
      <c r="BH87" s="6">
        <f t="shared" si="54"/>
        <v>0</v>
      </c>
      <c r="BI87" s="6">
        <f t="shared" si="54"/>
        <v>0</v>
      </c>
      <c r="BJ87" s="6">
        <f t="shared" si="54"/>
        <v>0</v>
      </c>
      <c r="BK87" s="6">
        <f t="shared" si="54"/>
        <v>0</v>
      </c>
    </row>
    <row r="88" spans="2:63" x14ac:dyDescent="0.25">
      <c r="B88" s="1" t="s">
        <v>380</v>
      </c>
      <c r="D88" s="6" t="s">
        <v>381</v>
      </c>
      <c r="E88" s="6">
        <f t="shared" ref="E88:AJ88" si="55">D31</f>
        <v>0</v>
      </c>
      <c r="F88" s="6">
        <f t="shared" si="55"/>
        <v>0</v>
      </c>
      <c r="G88" s="6">
        <f t="shared" si="55"/>
        <v>324419667950</v>
      </c>
      <c r="H88" s="6">
        <f t="shared" si="55"/>
        <v>0</v>
      </c>
      <c r="I88" s="6">
        <f t="shared" si="55"/>
        <v>0</v>
      </c>
      <c r="J88" s="6">
        <f t="shared" si="55"/>
        <v>0</v>
      </c>
      <c r="K88" s="6">
        <f t="shared" si="55"/>
        <v>0</v>
      </c>
      <c r="L88" s="6">
        <f t="shared" si="55"/>
        <v>0</v>
      </c>
      <c r="M88" s="6">
        <f t="shared" si="55"/>
        <v>0</v>
      </c>
      <c r="N88" s="6">
        <f t="shared" si="55"/>
        <v>0</v>
      </c>
      <c r="O88" s="6">
        <f t="shared" si="55"/>
        <v>0</v>
      </c>
      <c r="P88" s="6">
        <f t="shared" si="55"/>
        <v>0</v>
      </c>
      <c r="Q88" s="6">
        <f t="shared" si="55"/>
        <v>0</v>
      </c>
      <c r="R88" s="6">
        <f t="shared" si="55"/>
        <v>0</v>
      </c>
      <c r="S88" s="6">
        <f t="shared" si="55"/>
        <v>0</v>
      </c>
      <c r="T88" s="6">
        <f t="shared" si="55"/>
        <v>0</v>
      </c>
      <c r="U88" s="6">
        <f t="shared" si="55"/>
        <v>0</v>
      </c>
      <c r="V88" s="6">
        <f t="shared" si="55"/>
        <v>0</v>
      </c>
      <c r="W88" s="6">
        <f t="shared" si="55"/>
        <v>0</v>
      </c>
      <c r="X88" s="6">
        <f t="shared" si="55"/>
        <v>0</v>
      </c>
      <c r="Y88" s="6">
        <f t="shared" si="55"/>
        <v>0</v>
      </c>
      <c r="Z88" s="6">
        <f t="shared" si="55"/>
        <v>0</v>
      </c>
      <c r="AA88" s="6">
        <f t="shared" si="55"/>
        <v>0</v>
      </c>
      <c r="AB88" s="6">
        <f t="shared" si="55"/>
        <v>0</v>
      </c>
      <c r="AC88" s="6">
        <f t="shared" si="55"/>
        <v>0</v>
      </c>
      <c r="AD88" s="6">
        <f t="shared" si="55"/>
        <v>0</v>
      </c>
      <c r="AE88" s="6">
        <f t="shared" si="55"/>
        <v>0</v>
      </c>
      <c r="AF88" s="6">
        <f t="shared" si="55"/>
        <v>0</v>
      </c>
      <c r="AG88" s="6">
        <f t="shared" si="55"/>
        <v>0</v>
      </c>
      <c r="AH88" s="6">
        <f t="shared" si="55"/>
        <v>0</v>
      </c>
      <c r="AI88" s="6">
        <f t="shared" si="55"/>
        <v>0</v>
      </c>
      <c r="AJ88" s="6">
        <f t="shared" si="55"/>
        <v>0</v>
      </c>
      <c r="AK88" s="6">
        <f t="shared" ref="AK88:BK88" si="56">AJ31</f>
        <v>0</v>
      </c>
      <c r="AL88" s="6">
        <f t="shared" si="56"/>
        <v>0</v>
      </c>
      <c r="AM88" s="6">
        <f t="shared" si="56"/>
        <v>0</v>
      </c>
      <c r="AN88" s="6">
        <f t="shared" si="56"/>
        <v>0</v>
      </c>
      <c r="AO88" s="6">
        <f t="shared" si="56"/>
        <v>0</v>
      </c>
      <c r="AP88" s="6">
        <f t="shared" si="56"/>
        <v>0</v>
      </c>
      <c r="AQ88" s="6">
        <f t="shared" si="56"/>
        <v>0</v>
      </c>
      <c r="AR88" s="6">
        <f t="shared" si="56"/>
        <v>0</v>
      </c>
      <c r="AS88" s="6">
        <f t="shared" si="56"/>
        <v>0</v>
      </c>
      <c r="AT88" s="6">
        <f t="shared" si="56"/>
        <v>0</v>
      </c>
      <c r="AU88" s="6">
        <f t="shared" si="56"/>
        <v>0</v>
      </c>
      <c r="AV88" s="6">
        <f t="shared" si="56"/>
        <v>0</v>
      </c>
      <c r="AW88" s="6">
        <f t="shared" si="56"/>
        <v>0</v>
      </c>
      <c r="AX88" s="6">
        <f t="shared" si="56"/>
        <v>0</v>
      </c>
      <c r="AY88" s="6">
        <f t="shared" si="56"/>
        <v>0</v>
      </c>
      <c r="AZ88" s="6">
        <f t="shared" si="56"/>
        <v>0</v>
      </c>
      <c r="BA88" s="6">
        <f t="shared" si="56"/>
        <v>0</v>
      </c>
      <c r="BB88" s="6">
        <f t="shared" si="56"/>
        <v>0</v>
      </c>
      <c r="BC88" s="6">
        <f t="shared" si="56"/>
        <v>0</v>
      </c>
      <c r="BD88" s="6">
        <f t="shared" si="56"/>
        <v>0</v>
      </c>
      <c r="BE88" s="6">
        <f t="shared" si="56"/>
        <v>0</v>
      </c>
      <c r="BF88" s="6">
        <f t="shared" si="56"/>
        <v>0</v>
      </c>
      <c r="BG88" s="6">
        <f t="shared" si="56"/>
        <v>0</v>
      </c>
      <c r="BH88" s="6">
        <f t="shared" si="56"/>
        <v>0</v>
      </c>
      <c r="BI88" s="6">
        <f t="shared" si="56"/>
        <v>0</v>
      </c>
      <c r="BJ88" s="6">
        <f t="shared" si="56"/>
        <v>0</v>
      </c>
      <c r="BK88" s="6">
        <f t="shared" si="56"/>
        <v>0</v>
      </c>
    </row>
    <row r="89" spans="2:63" x14ac:dyDescent="0.25">
      <c r="B89" s="1" t="s">
        <v>382</v>
      </c>
      <c r="D89" s="6">
        <f t="shared" ref="D89:O89" si="57">MAX(D11-D18,0)+MAX(D62,0)</f>
        <v>0</v>
      </c>
      <c r="E89" s="6">
        <f t="shared" si="57"/>
        <v>0</v>
      </c>
      <c r="F89" s="6">
        <f t="shared" si="57"/>
        <v>74847148200</v>
      </c>
      <c r="G89" s="6">
        <f t="shared" si="57"/>
        <v>836080809465</v>
      </c>
      <c r="H89" s="6">
        <f t="shared" si="57"/>
        <v>318887869822.5</v>
      </c>
      <c r="I89" s="6">
        <f t="shared" si="57"/>
        <v>0</v>
      </c>
      <c r="J89" s="6">
        <f t="shared" si="57"/>
        <v>0</v>
      </c>
      <c r="K89" s="6">
        <f t="shared" si="57"/>
        <v>0</v>
      </c>
      <c r="L89" s="6">
        <f t="shared" si="57"/>
        <v>0</v>
      </c>
      <c r="M89" s="6">
        <f t="shared" si="57"/>
        <v>0</v>
      </c>
      <c r="N89" s="6">
        <f t="shared" si="57"/>
        <v>0</v>
      </c>
      <c r="O89" s="6">
        <f t="shared" si="57"/>
        <v>0</v>
      </c>
      <c r="P89" s="6">
        <f>MAX(P11-P18,0)+MAX(P62,0)+$C$153</f>
        <v>0</v>
      </c>
      <c r="Q89" s="6">
        <f t="shared" ref="Q89:BK89" si="58">MAX(Q11-Q18,0)+MAX(Q62,0)</f>
        <v>0</v>
      </c>
      <c r="R89" s="6">
        <f t="shared" si="58"/>
        <v>0</v>
      </c>
      <c r="S89" s="6">
        <f t="shared" si="58"/>
        <v>0</v>
      </c>
      <c r="T89" s="6">
        <f t="shared" si="58"/>
        <v>0</v>
      </c>
      <c r="U89" s="6">
        <f t="shared" si="58"/>
        <v>0</v>
      </c>
      <c r="V89" s="6">
        <f t="shared" si="58"/>
        <v>0</v>
      </c>
      <c r="W89" s="6">
        <f t="shared" si="58"/>
        <v>0</v>
      </c>
      <c r="X89" s="6">
        <f t="shared" si="58"/>
        <v>0</v>
      </c>
      <c r="Y89" s="6">
        <f t="shared" si="58"/>
        <v>0</v>
      </c>
      <c r="Z89" s="6">
        <f t="shared" si="58"/>
        <v>0</v>
      </c>
      <c r="AA89" s="6">
        <f t="shared" si="58"/>
        <v>0</v>
      </c>
      <c r="AB89" s="6">
        <f t="shared" si="58"/>
        <v>0</v>
      </c>
      <c r="AC89" s="6">
        <f t="shared" si="58"/>
        <v>0</v>
      </c>
      <c r="AD89" s="6">
        <f t="shared" si="58"/>
        <v>0</v>
      </c>
      <c r="AE89" s="6">
        <f t="shared" si="58"/>
        <v>0</v>
      </c>
      <c r="AF89" s="6">
        <f t="shared" si="58"/>
        <v>0</v>
      </c>
      <c r="AG89" s="6">
        <f t="shared" si="58"/>
        <v>0</v>
      </c>
      <c r="AH89" s="6">
        <f t="shared" si="58"/>
        <v>0</v>
      </c>
      <c r="AI89" s="6">
        <f t="shared" si="58"/>
        <v>0</v>
      </c>
      <c r="AJ89" s="6">
        <f t="shared" si="58"/>
        <v>0</v>
      </c>
      <c r="AK89" s="6">
        <f t="shared" si="58"/>
        <v>0</v>
      </c>
      <c r="AL89" s="6">
        <f t="shared" si="58"/>
        <v>0</v>
      </c>
      <c r="AM89" s="6">
        <f t="shared" si="58"/>
        <v>0</v>
      </c>
      <c r="AN89" s="6">
        <f t="shared" si="58"/>
        <v>0</v>
      </c>
      <c r="AO89" s="6">
        <f t="shared" si="58"/>
        <v>0</v>
      </c>
      <c r="AP89" s="6">
        <f t="shared" si="58"/>
        <v>0</v>
      </c>
      <c r="AQ89" s="6">
        <f t="shared" si="58"/>
        <v>0</v>
      </c>
      <c r="AR89" s="6">
        <f t="shared" si="58"/>
        <v>0</v>
      </c>
      <c r="AS89" s="6">
        <f t="shared" si="58"/>
        <v>0</v>
      </c>
      <c r="AT89" s="6">
        <f t="shared" si="58"/>
        <v>0</v>
      </c>
      <c r="AU89" s="6">
        <f t="shared" si="58"/>
        <v>0</v>
      </c>
      <c r="AV89" s="6">
        <f t="shared" si="58"/>
        <v>0</v>
      </c>
      <c r="AW89" s="6">
        <f t="shared" si="58"/>
        <v>0</v>
      </c>
      <c r="AX89" s="6">
        <f t="shared" si="58"/>
        <v>0</v>
      </c>
      <c r="AY89" s="6">
        <f t="shared" si="58"/>
        <v>0</v>
      </c>
      <c r="AZ89" s="6">
        <f t="shared" si="58"/>
        <v>0</v>
      </c>
      <c r="BA89" s="6">
        <f t="shared" si="58"/>
        <v>0</v>
      </c>
      <c r="BB89" s="6">
        <f t="shared" si="58"/>
        <v>0</v>
      </c>
      <c r="BC89" s="6">
        <f t="shared" si="58"/>
        <v>0</v>
      </c>
      <c r="BD89" s="6">
        <f t="shared" si="58"/>
        <v>0</v>
      </c>
      <c r="BE89" s="6">
        <f t="shared" si="58"/>
        <v>0</v>
      </c>
      <c r="BF89" s="6">
        <f t="shared" si="58"/>
        <v>0</v>
      </c>
      <c r="BG89" s="6">
        <f t="shared" si="58"/>
        <v>0</v>
      </c>
      <c r="BH89" s="6">
        <f t="shared" si="58"/>
        <v>0</v>
      </c>
      <c r="BI89" s="6">
        <f t="shared" si="58"/>
        <v>0</v>
      </c>
      <c r="BJ89" s="6">
        <f t="shared" si="58"/>
        <v>0</v>
      </c>
      <c r="BK89" s="6">
        <f t="shared" si="58"/>
        <v>0</v>
      </c>
    </row>
    <row r="90" spans="2:63" x14ac:dyDescent="0.25">
      <c r="B90" s="1" t="s">
        <v>383</v>
      </c>
      <c r="D90" s="6">
        <f t="shared" ref="D90:AI90" si="59">MAX(D87-D89-D86,0)</f>
        <v>0</v>
      </c>
      <c r="E90" s="6">
        <f t="shared" si="59"/>
        <v>15000000000</v>
      </c>
      <c r="F90" s="6">
        <f t="shared" si="59"/>
        <v>403609520300</v>
      </c>
      <c r="G90" s="6">
        <f t="shared" si="59"/>
        <v>0</v>
      </c>
      <c r="H90" s="6">
        <f t="shared" si="59"/>
        <v>0</v>
      </c>
      <c r="I90" s="6">
        <f t="shared" si="59"/>
        <v>0</v>
      </c>
      <c r="J90" s="6">
        <f t="shared" si="59"/>
        <v>0</v>
      </c>
      <c r="K90" s="6">
        <f t="shared" si="59"/>
        <v>0</v>
      </c>
      <c r="L90" s="6">
        <f t="shared" si="59"/>
        <v>0</v>
      </c>
      <c r="M90" s="6">
        <f t="shared" si="59"/>
        <v>0</v>
      </c>
      <c r="N90" s="6">
        <f t="shared" si="59"/>
        <v>0</v>
      </c>
      <c r="O90" s="6">
        <f t="shared" si="59"/>
        <v>0</v>
      </c>
      <c r="P90" s="6">
        <f t="shared" si="59"/>
        <v>0</v>
      </c>
      <c r="Q90" s="6">
        <f t="shared" si="59"/>
        <v>0</v>
      </c>
      <c r="R90" s="6">
        <f t="shared" si="59"/>
        <v>0</v>
      </c>
      <c r="S90" s="6">
        <f t="shared" si="59"/>
        <v>0</v>
      </c>
      <c r="T90" s="6">
        <f t="shared" si="59"/>
        <v>0</v>
      </c>
      <c r="U90" s="6">
        <f t="shared" si="59"/>
        <v>0</v>
      </c>
      <c r="V90" s="6">
        <f t="shared" si="59"/>
        <v>0</v>
      </c>
      <c r="W90" s="6">
        <f t="shared" si="59"/>
        <v>0</v>
      </c>
      <c r="X90" s="6">
        <f t="shared" si="59"/>
        <v>0</v>
      </c>
      <c r="Y90" s="6">
        <f t="shared" si="59"/>
        <v>0</v>
      </c>
      <c r="Z90" s="6">
        <f t="shared" si="59"/>
        <v>0</v>
      </c>
      <c r="AA90" s="6">
        <f t="shared" si="59"/>
        <v>0</v>
      </c>
      <c r="AB90" s="6">
        <f t="shared" si="59"/>
        <v>0</v>
      </c>
      <c r="AC90" s="6">
        <f t="shared" si="59"/>
        <v>0</v>
      </c>
      <c r="AD90" s="6">
        <f t="shared" si="59"/>
        <v>0</v>
      </c>
      <c r="AE90" s="6">
        <f t="shared" si="59"/>
        <v>0</v>
      </c>
      <c r="AF90" s="6">
        <f t="shared" si="59"/>
        <v>0</v>
      </c>
      <c r="AG90" s="6">
        <f t="shared" si="59"/>
        <v>0</v>
      </c>
      <c r="AH90" s="6">
        <f t="shared" si="59"/>
        <v>0</v>
      </c>
      <c r="AI90" s="6">
        <f t="shared" si="59"/>
        <v>0</v>
      </c>
      <c r="AJ90" s="6">
        <f t="shared" ref="AJ90:BK90" si="60">MAX(AJ87-AJ89-AJ86,0)</f>
        <v>0</v>
      </c>
      <c r="AK90" s="6">
        <f t="shared" si="60"/>
        <v>0</v>
      </c>
      <c r="AL90" s="6">
        <f t="shared" si="60"/>
        <v>0</v>
      </c>
      <c r="AM90" s="6">
        <f t="shared" si="60"/>
        <v>0</v>
      </c>
      <c r="AN90" s="6">
        <f t="shared" si="60"/>
        <v>0</v>
      </c>
      <c r="AO90" s="6">
        <f t="shared" si="60"/>
        <v>0</v>
      </c>
      <c r="AP90" s="6">
        <f t="shared" si="60"/>
        <v>0</v>
      </c>
      <c r="AQ90" s="6">
        <f t="shared" si="60"/>
        <v>0</v>
      </c>
      <c r="AR90" s="6">
        <f t="shared" si="60"/>
        <v>0</v>
      </c>
      <c r="AS90" s="6">
        <f t="shared" si="60"/>
        <v>0</v>
      </c>
      <c r="AT90" s="6">
        <f t="shared" si="60"/>
        <v>0</v>
      </c>
      <c r="AU90" s="6">
        <f t="shared" si="60"/>
        <v>0</v>
      </c>
      <c r="AV90" s="6">
        <f t="shared" si="60"/>
        <v>0</v>
      </c>
      <c r="AW90" s="6">
        <f t="shared" si="60"/>
        <v>0</v>
      </c>
      <c r="AX90" s="6">
        <f t="shared" si="60"/>
        <v>0</v>
      </c>
      <c r="AY90" s="6">
        <f t="shared" si="60"/>
        <v>0</v>
      </c>
      <c r="AZ90" s="6">
        <f t="shared" si="60"/>
        <v>0</v>
      </c>
      <c r="BA90" s="6">
        <f t="shared" si="60"/>
        <v>0</v>
      </c>
      <c r="BB90" s="6">
        <f t="shared" si="60"/>
        <v>0</v>
      </c>
      <c r="BC90" s="6">
        <f t="shared" si="60"/>
        <v>0</v>
      </c>
      <c r="BD90" s="6">
        <f t="shared" si="60"/>
        <v>0</v>
      </c>
      <c r="BE90" s="6">
        <f t="shared" si="60"/>
        <v>0</v>
      </c>
      <c r="BF90" s="6">
        <f t="shared" si="60"/>
        <v>0</v>
      </c>
      <c r="BG90" s="6">
        <f t="shared" si="60"/>
        <v>0</v>
      </c>
      <c r="BH90" s="6">
        <f t="shared" si="60"/>
        <v>0</v>
      </c>
      <c r="BI90" s="6">
        <f t="shared" si="60"/>
        <v>0</v>
      </c>
      <c r="BJ90" s="6">
        <f t="shared" si="60"/>
        <v>0</v>
      </c>
      <c r="BK90" s="6">
        <f t="shared" si="60"/>
        <v>0</v>
      </c>
    </row>
    <row r="91" spans="2:63" x14ac:dyDescent="0.25">
      <c r="B91" s="1" t="s">
        <v>384</v>
      </c>
      <c r="D91" s="6">
        <f>D85</f>
        <v>0</v>
      </c>
      <c r="E91" s="6">
        <f t="shared" ref="E91:AJ91" si="61">D91-D29+E85</f>
        <v>0</v>
      </c>
      <c r="F91" s="6">
        <f t="shared" si="61"/>
        <v>324419667950</v>
      </c>
      <c r="G91" s="6">
        <f t="shared" si="61"/>
        <v>155317984937.5</v>
      </c>
      <c r="H91" s="6">
        <f t="shared" si="61"/>
        <v>33247316987.5</v>
      </c>
      <c r="I91" s="6">
        <f t="shared" si="61"/>
        <v>0</v>
      </c>
      <c r="J91" s="6">
        <f t="shared" si="61"/>
        <v>0</v>
      </c>
      <c r="K91" s="6">
        <f t="shared" si="61"/>
        <v>0</v>
      </c>
      <c r="L91" s="6">
        <f t="shared" si="61"/>
        <v>0</v>
      </c>
      <c r="M91" s="6">
        <f t="shared" si="61"/>
        <v>0</v>
      </c>
      <c r="N91" s="6">
        <f t="shared" si="61"/>
        <v>0</v>
      </c>
      <c r="O91" s="6">
        <f t="shared" si="61"/>
        <v>0</v>
      </c>
      <c r="P91" s="6">
        <f t="shared" si="61"/>
        <v>0</v>
      </c>
      <c r="Q91" s="6">
        <f t="shared" si="61"/>
        <v>0</v>
      </c>
      <c r="R91" s="6">
        <f t="shared" si="61"/>
        <v>0</v>
      </c>
      <c r="S91" s="6">
        <f t="shared" si="61"/>
        <v>0</v>
      </c>
      <c r="T91" s="6">
        <f t="shared" si="61"/>
        <v>0</v>
      </c>
      <c r="U91" s="6">
        <f t="shared" si="61"/>
        <v>0</v>
      </c>
      <c r="V91" s="6">
        <f t="shared" si="61"/>
        <v>0</v>
      </c>
      <c r="W91" s="6">
        <f t="shared" si="61"/>
        <v>0</v>
      </c>
      <c r="X91" s="6">
        <f t="shared" si="61"/>
        <v>0</v>
      </c>
      <c r="Y91" s="6">
        <f t="shared" si="61"/>
        <v>0</v>
      </c>
      <c r="Z91" s="6">
        <f t="shared" si="61"/>
        <v>0</v>
      </c>
      <c r="AA91" s="6">
        <f t="shared" si="61"/>
        <v>0</v>
      </c>
      <c r="AB91" s="6">
        <f t="shared" si="61"/>
        <v>0</v>
      </c>
      <c r="AC91" s="6">
        <f t="shared" si="61"/>
        <v>0</v>
      </c>
      <c r="AD91" s="6">
        <f t="shared" si="61"/>
        <v>0</v>
      </c>
      <c r="AE91" s="6">
        <f t="shared" si="61"/>
        <v>0</v>
      </c>
      <c r="AF91" s="6">
        <f t="shared" si="61"/>
        <v>0</v>
      </c>
      <c r="AG91" s="6">
        <f t="shared" si="61"/>
        <v>0</v>
      </c>
      <c r="AH91" s="6">
        <f t="shared" si="61"/>
        <v>0</v>
      </c>
      <c r="AI91" s="6">
        <f t="shared" si="61"/>
        <v>0</v>
      </c>
      <c r="AJ91" s="6">
        <f t="shared" si="61"/>
        <v>0</v>
      </c>
      <c r="AK91" s="6">
        <f t="shared" ref="AK91:BK91" si="62">AJ91-AJ29+AK85</f>
        <v>0</v>
      </c>
      <c r="AL91" s="6">
        <f t="shared" si="62"/>
        <v>0</v>
      </c>
      <c r="AM91" s="6">
        <f t="shared" si="62"/>
        <v>0</v>
      </c>
      <c r="AN91" s="6">
        <f t="shared" si="62"/>
        <v>0</v>
      </c>
      <c r="AO91" s="6">
        <f t="shared" si="62"/>
        <v>0</v>
      </c>
      <c r="AP91" s="6">
        <f t="shared" si="62"/>
        <v>0</v>
      </c>
      <c r="AQ91" s="6">
        <f t="shared" si="62"/>
        <v>0</v>
      </c>
      <c r="AR91" s="6">
        <f t="shared" si="62"/>
        <v>0</v>
      </c>
      <c r="AS91" s="6">
        <f t="shared" si="62"/>
        <v>0</v>
      </c>
      <c r="AT91" s="6">
        <f t="shared" si="62"/>
        <v>0</v>
      </c>
      <c r="AU91" s="6">
        <f t="shared" si="62"/>
        <v>0</v>
      </c>
      <c r="AV91" s="6">
        <f t="shared" si="62"/>
        <v>0</v>
      </c>
      <c r="AW91" s="6">
        <f t="shared" si="62"/>
        <v>0</v>
      </c>
      <c r="AX91" s="6">
        <f t="shared" si="62"/>
        <v>0</v>
      </c>
      <c r="AY91" s="6">
        <f t="shared" si="62"/>
        <v>0</v>
      </c>
      <c r="AZ91" s="6">
        <f t="shared" si="62"/>
        <v>0</v>
      </c>
      <c r="BA91" s="6">
        <f t="shared" si="62"/>
        <v>0</v>
      </c>
      <c r="BB91" s="6">
        <f t="shared" si="62"/>
        <v>0</v>
      </c>
      <c r="BC91" s="6">
        <f t="shared" si="62"/>
        <v>0</v>
      </c>
      <c r="BD91" s="6">
        <f t="shared" si="62"/>
        <v>0</v>
      </c>
      <c r="BE91" s="6">
        <f t="shared" si="62"/>
        <v>0</v>
      </c>
      <c r="BF91" s="6">
        <f t="shared" si="62"/>
        <v>0</v>
      </c>
      <c r="BG91" s="6">
        <f t="shared" si="62"/>
        <v>0</v>
      </c>
      <c r="BH91" s="6">
        <f t="shared" si="62"/>
        <v>0</v>
      </c>
      <c r="BI91" s="6">
        <f t="shared" si="62"/>
        <v>0</v>
      </c>
      <c r="BJ91" s="6">
        <f t="shared" si="62"/>
        <v>0</v>
      </c>
      <c r="BK91" s="6">
        <f t="shared" si="62"/>
        <v>0</v>
      </c>
    </row>
    <row r="92" spans="2:63" x14ac:dyDescent="0.25">
      <c r="B92" s="1" t="s">
        <v>385</v>
      </c>
      <c r="D92" s="6">
        <f t="shared" ref="D92:AI92" si="63">MAX(D89-D87,0)</f>
        <v>0</v>
      </c>
      <c r="E92" s="6">
        <f t="shared" si="63"/>
        <v>0</v>
      </c>
      <c r="F92" s="6">
        <f t="shared" si="63"/>
        <v>0</v>
      </c>
      <c r="G92" s="6">
        <f t="shared" si="63"/>
        <v>599197973840</v>
      </c>
      <c r="H92" s="6">
        <f t="shared" si="63"/>
        <v>256391702697.5</v>
      </c>
      <c r="I92" s="6">
        <f t="shared" si="63"/>
        <v>0</v>
      </c>
      <c r="J92" s="6">
        <f t="shared" si="63"/>
        <v>0</v>
      </c>
      <c r="K92" s="6">
        <f t="shared" si="63"/>
        <v>0</v>
      </c>
      <c r="L92" s="6">
        <f t="shared" si="63"/>
        <v>0</v>
      </c>
      <c r="M92" s="6">
        <f t="shared" si="63"/>
        <v>0</v>
      </c>
      <c r="N92" s="6">
        <f t="shared" si="63"/>
        <v>0</v>
      </c>
      <c r="O92" s="6">
        <f t="shared" si="63"/>
        <v>0</v>
      </c>
      <c r="P92" s="6">
        <f t="shared" si="63"/>
        <v>0</v>
      </c>
      <c r="Q92" s="6">
        <f t="shared" si="63"/>
        <v>0</v>
      </c>
      <c r="R92" s="6">
        <f t="shared" si="63"/>
        <v>0</v>
      </c>
      <c r="S92" s="6">
        <f t="shared" si="63"/>
        <v>0</v>
      </c>
      <c r="T92" s="6">
        <f t="shared" si="63"/>
        <v>0</v>
      </c>
      <c r="U92" s="6">
        <f t="shared" si="63"/>
        <v>0</v>
      </c>
      <c r="V92" s="6">
        <f t="shared" si="63"/>
        <v>0</v>
      </c>
      <c r="W92" s="6">
        <f t="shared" si="63"/>
        <v>0</v>
      </c>
      <c r="X92" s="6">
        <f t="shared" si="63"/>
        <v>0</v>
      </c>
      <c r="Y92" s="6">
        <f t="shared" si="63"/>
        <v>0</v>
      </c>
      <c r="Z92" s="6">
        <f t="shared" si="63"/>
        <v>0</v>
      </c>
      <c r="AA92" s="6">
        <f t="shared" si="63"/>
        <v>0</v>
      </c>
      <c r="AB92" s="6">
        <f t="shared" si="63"/>
        <v>0</v>
      </c>
      <c r="AC92" s="6">
        <f t="shared" si="63"/>
        <v>0</v>
      </c>
      <c r="AD92" s="6">
        <f t="shared" si="63"/>
        <v>0</v>
      </c>
      <c r="AE92" s="6">
        <f t="shared" si="63"/>
        <v>0</v>
      </c>
      <c r="AF92" s="6">
        <f t="shared" si="63"/>
        <v>0</v>
      </c>
      <c r="AG92" s="6">
        <f t="shared" si="63"/>
        <v>0</v>
      </c>
      <c r="AH92" s="6">
        <f t="shared" si="63"/>
        <v>0</v>
      </c>
      <c r="AI92" s="6">
        <f t="shared" si="63"/>
        <v>0</v>
      </c>
      <c r="AJ92" s="6">
        <f t="shared" ref="AJ92:BK92" si="64">MAX(AJ89-AJ87,0)</f>
        <v>0</v>
      </c>
      <c r="AK92" s="6">
        <f t="shared" si="64"/>
        <v>0</v>
      </c>
      <c r="AL92" s="6">
        <f t="shared" si="64"/>
        <v>0</v>
      </c>
      <c r="AM92" s="6">
        <f t="shared" si="64"/>
        <v>0</v>
      </c>
      <c r="AN92" s="6">
        <f t="shared" si="64"/>
        <v>0</v>
      </c>
      <c r="AO92" s="6">
        <f t="shared" si="64"/>
        <v>0</v>
      </c>
      <c r="AP92" s="6">
        <f t="shared" si="64"/>
        <v>0</v>
      </c>
      <c r="AQ92" s="6">
        <f t="shared" si="64"/>
        <v>0</v>
      </c>
      <c r="AR92" s="6">
        <f t="shared" si="64"/>
        <v>0</v>
      </c>
      <c r="AS92" s="6">
        <f t="shared" si="64"/>
        <v>0</v>
      </c>
      <c r="AT92" s="6">
        <f t="shared" si="64"/>
        <v>0</v>
      </c>
      <c r="AU92" s="6">
        <f t="shared" si="64"/>
        <v>0</v>
      </c>
      <c r="AV92" s="6">
        <f t="shared" si="64"/>
        <v>0</v>
      </c>
      <c r="AW92" s="6">
        <f t="shared" si="64"/>
        <v>0</v>
      </c>
      <c r="AX92" s="6">
        <f t="shared" si="64"/>
        <v>0</v>
      </c>
      <c r="AY92" s="6">
        <f t="shared" si="64"/>
        <v>0</v>
      </c>
      <c r="AZ92" s="6">
        <f t="shared" si="64"/>
        <v>0</v>
      </c>
      <c r="BA92" s="6">
        <f t="shared" si="64"/>
        <v>0</v>
      </c>
      <c r="BB92" s="6">
        <f t="shared" si="64"/>
        <v>0</v>
      </c>
      <c r="BC92" s="6">
        <f t="shared" si="64"/>
        <v>0</v>
      </c>
      <c r="BD92" s="6">
        <f t="shared" si="64"/>
        <v>0</v>
      </c>
      <c r="BE92" s="6">
        <f t="shared" si="64"/>
        <v>0</v>
      </c>
      <c r="BF92" s="6">
        <f t="shared" si="64"/>
        <v>0</v>
      </c>
      <c r="BG92" s="6">
        <f t="shared" si="64"/>
        <v>0</v>
      </c>
      <c r="BH92" s="6">
        <f t="shared" si="64"/>
        <v>0</v>
      </c>
      <c r="BI92" s="6">
        <f t="shared" si="64"/>
        <v>0</v>
      </c>
      <c r="BJ92" s="6">
        <f t="shared" si="64"/>
        <v>0</v>
      </c>
      <c r="BK92" s="6">
        <f t="shared" si="64"/>
        <v>0</v>
      </c>
    </row>
    <row r="93" spans="2:63" x14ac:dyDescent="0.25">
      <c r="B93" s="1" t="s">
        <v>386</v>
      </c>
      <c r="D93" s="6">
        <f>D86+MAX(D90-D29,0)+D28+D19+D11*INPUT!$C$8/100</f>
        <v>200000000000</v>
      </c>
      <c r="E93" s="6">
        <f>E86+MAX(E90-E29,0)+E28+E19+E11*INPUT!$C$8/100</f>
        <v>215000000000</v>
      </c>
      <c r="F93" s="6">
        <f>F86+MAX(F90-F29,0)+F28+F19+F11*INPUT!$C$8/100</f>
        <v>80898691350</v>
      </c>
      <c r="G93" s="6">
        <f>G86+MAX(G90-G29,0)+G28+G19+G11*INPUT!$C$8/100</f>
        <v>75427275581.75174</v>
      </c>
      <c r="H93" s="6">
        <f>H86+MAX(H90-H29,0)+H28+H19+H11*INPUT!$C$8/100</f>
        <v>21791317938.157349</v>
      </c>
      <c r="I93" s="6">
        <f>I86+MAX(I90-I29,0)+I28+I19+I11*INPUT!$C$8/100</f>
        <v>0</v>
      </c>
      <c r="J93" s="6">
        <f>J86+MAX(J90-J29,0)+J28+J19+J11*INPUT!$C$8/100</f>
        <v>0</v>
      </c>
      <c r="K93" s="6">
        <f>K86+MAX(K90-K29,0)+K28+K19+K11*INPUT!$C$8/100</f>
        <v>0</v>
      </c>
      <c r="L93" s="6">
        <f>L86+MAX(L90-L29,0)+L28+L19+L11*INPUT!$C$8/100</f>
        <v>0</v>
      </c>
      <c r="M93" s="6">
        <f>M86+MAX(M90-M29,0)+M28+M19+M11*INPUT!$C$8/100</f>
        <v>0</v>
      </c>
      <c r="N93" s="6">
        <f>N86+MAX(N90-N29,0)+N28+N19+N11*INPUT!$C$8/100</f>
        <v>0</v>
      </c>
      <c r="O93" s="6">
        <f>O86+MAX(O90-O29,0)+O28+O19+O11*INPUT!$C$8/100</f>
        <v>0</v>
      </c>
      <c r="P93" s="6">
        <f>P86+MAX(P90-P29,0)+P28+P19+P11*INPUT!$C$8/100</f>
        <v>0</v>
      </c>
      <c r="Q93" s="6">
        <f>Q86+MAX(Q90-Q29,0)+Q28+Q19+Q11*INPUT!$C$8/100</f>
        <v>0</v>
      </c>
      <c r="R93" s="6">
        <f>R86+MAX(R90-R29,0)+R28+R19+R11*INPUT!$C$8/100</f>
        <v>0</v>
      </c>
      <c r="S93" s="6">
        <f>S86+MAX(S90-S29,0)+S28+S19+S11*INPUT!$C$8/100</f>
        <v>0</v>
      </c>
      <c r="T93" s="6">
        <f>T86+MAX(T90-T29,0)+T28+T19+T11*INPUT!$C$8/100</f>
        <v>0</v>
      </c>
      <c r="U93" s="6">
        <f>U86+MAX(U90-U29,0)+U28+U19+U11*INPUT!$C$8/100</f>
        <v>0</v>
      </c>
      <c r="V93" s="6">
        <f>V86+MAX(V90-V29,0)+V28+V19+V11*INPUT!$C$8/100</f>
        <v>0</v>
      </c>
      <c r="W93" s="6">
        <f>W86+MAX(W90-W29,0)+W28+W19+W11*INPUT!$C$8/100</f>
        <v>0</v>
      </c>
      <c r="X93" s="6">
        <f>X86+MAX(X90-X29,0)+X28+X19+X11*INPUT!$C$8/100</f>
        <v>0</v>
      </c>
      <c r="Y93" s="6">
        <f>Y86+MAX(Y90-Y29,0)+Y28+Y19+Y11*INPUT!$C$8/100</f>
        <v>0</v>
      </c>
      <c r="Z93" s="6">
        <f>Z86+MAX(Z90-Z29,0)+Z28+Z19+Z11*INPUT!$C$8/100</f>
        <v>0</v>
      </c>
      <c r="AA93" s="6">
        <f>AA86+MAX(AA90-AA29,0)+AA28+AA19+AA11*INPUT!$C$8/100</f>
        <v>0</v>
      </c>
      <c r="AB93" s="6">
        <f>AB86+MAX(AB90-AB29,0)+AB28+AB19+AB11*INPUT!$C$8/100</f>
        <v>0</v>
      </c>
      <c r="AC93" s="6">
        <f>AC86+MAX(AC90-AC29,0)+AC28+AC19+AC11*INPUT!$C$8/100</f>
        <v>0</v>
      </c>
      <c r="AD93" s="6">
        <f>AD86+MAX(AD90-AD29,0)+AD28+AD19+AD11*INPUT!$C$8/100</f>
        <v>0</v>
      </c>
      <c r="AE93" s="6">
        <f>AE86+MAX(AE90-AE29,0)+AE28+AE19+AE11*INPUT!$C$8/100</f>
        <v>0</v>
      </c>
      <c r="AF93" s="6">
        <f>AF86+MAX(AF90-AF29,0)+AF28+AF19+AF11*INPUT!$C$8/100</f>
        <v>0</v>
      </c>
      <c r="AG93" s="6">
        <f>AG86+MAX(AG90-AG29,0)+AG28+AG19+AG11*INPUT!$C$8/100</f>
        <v>0</v>
      </c>
      <c r="AH93" s="6">
        <f>AH86+MAX(AH90-AH29,0)+AH28+AH19+AH11*INPUT!$C$8/100</f>
        <v>0</v>
      </c>
      <c r="AI93" s="6">
        <f>AI86+MAX(AI90-AI29,0)+AI28+AI19+AI11*INPUT!$C$8/100</f>
        <v>0</v>
      </c>
      <c r="AJ93" s="6">
        <f>AJ86+MAX(AJ90-AJ29,0)+AJ28+AJ19+AJ11*INPUT!$C$8/100</f>
        <v>0</v>
      </c>
      <c r="AK93" s="6">
        <f>AK86+MAX(AK90-AK29,0)+AK28+AK19+AK11*INPUT!$C$8/100</f>
        <v>0</v>
      </c>
      <c r="AL93" s="6">
        <f>AL86+MAX(AL90-AL29,0)+AL28+AL19+AL11*INPUT!$C$8/100</f>
        <v>0</v>
      </c>
      <c r="AM93" s="6">
        <f>AM86+MAX(AM90-AM29,0)+AM28+AM19+AM11*INPUT!$C$8/100</f>
        <v>0</v>
      </c>
      <c r="AN93" s="6">
        <f>AN86+MAX(AN90-AN29,0)+AN28+AN19+AN11*INPUT!$C$8/100</f>
        <v>0</v>
      </c>
      <c r="AO93" s="6">
        <f>AO86+MAX(AO90-AO29,0)+AO28+AO19+AO11*INPUT!$C$8/100</f>
        <v>0</v>
      </c>
      <c r="AP93" s="6">
        <f>AP86+MAX(AP90-AP29,0)+AP28+AP19+AP11*INPUT!$C$8/100</f>
        <v>0</v>
      </c>
      <c r="AQ93" s="6">
        <f>AQ86+MAX(AQ90-AQ29,0)+AQ28+AQ19+AQ11*INPUT!$C$8/100</f>
        <v>0</v>
      </c>
      <c r="AR93" s="6">
        <f>AR86+MAX(AR90-AR29,0)+AR28+AR19+AR11*INPUT!$C$8/100</f>
        <v>0</v>
      </c>
      <c r="AS93" s="6">
        <f>AS86+MAX(AS90-AS29,0)+AS28+AS19+AS11*INPUT!$C$8/100</f>
        <v>0</v>
      </c>
      <c r="AT93" s="6">
        <f>AT86+MAX(AT90-AT29,0)+AT28+AT19+AT11*INPUT!$C$8/100</f>
        <v>0</v>
      </c>
      <c r="AU93" s="6">
        <f>AU86+MAX(AU90-AU29,0)+AU28+AU19+AU11*INPUT!$C$8/100</f>
        <v>0</v>
      </c>
      <c r="AV93" s="6">
        <f>AV86+MAX(AV90-AV29,0)+AV28+AV19+AV11*INPUT!$C$8/100</f>
        <v>0</v>
      </c>
      <c r="AW93" s="6">
        <f>AW86+MAX(AW90-AW29,0)+AW28+AW19+AW11*INPUT!$C$8/100</f>
        <v>0</v>
      </c>
      <c r="AX93" s="6">
        <f>AX86+MAX(AX90-AX29,0)+AX28+AX19+AX11*INPUT!$C$8/100</f>
        <v>0</v>
      </c>
      <c r="AY93" s="6">
        <f>AY86+MAX(AY90-AY29,0)+AY28+AY19+AY11*INPUT!$C$8/100</f>
        <v>0</v>
      </c>
      <c r="AZ93" s="6">
        <f>AZ86+MAX(AZ90-AZ29,0)+AZ28+AZ19+AZ11*INPUT!$C$8/100</f>
        <v>0</v>
      </c>
      <c r="BA93" s="6">
        <f>BA86+MAX(BA90-BA29,0)+BA28+BA19+BA11*INPUT!$C$8/100</f>
        <v>0</v>
      </c>
      <c r="BB93" s="6">
        <f>BB86+MAX(BB90-BB29,0)+BB28+BB19+BB11*INPUT!$C$8/100</f>
        <v>0</v>
      </c>
      <c r="BC93" s="6">
        <f>BC86+MAX(BC90-BC29,0)+BC28+BC19+BC11*INPUT!$C$8/100</f>
        <v>0</v>
      </c>
      <c r="BD93" s="6">
        <f>BD86+MAX(BD90-BD29,0)+BD28+BD19+BD11*INPUT!$C$8/100</f>
        <v>0</v>
      </c>
      <c r="BE93" s="6">
        <f>BE86+MAX(BE90-BE29,0)+BE28+BE19+BE11*INPUT!$C$8/100</f>
        <v>0</v>
      </c>
      <c r="BF93" s="6">
        <f>BF86+MAX(BF90-BF29,0)+BF28+BF19+BF11*INPUT!$C$8/100</f>
        <v>0</v>
      </c>
      <c r="BG93" s="6">
        <f>BG86+MAX(BG90-BG29,0)+BG28+BG19+BG11*INPUT!$C$8/100</f>
        <v>0</v>
      </c>
      <c r="BH93" s="6">
        <f>BH86+MAX(BH90-BH29,0)+BH28+BH19+BH11*INPUT!$C$8/100</f>
        <v>0</v>
      </c>
      <c r="BI93" s="6">
        <f>BI86+MAX(BI90-BI29,0)+BI28+BI19+BI11*INPUT!$C$8/100</f>
        <v>0</v>
      </c>
      <c r="BJ93" s="6">
        <f>BJ86+MAX(BJ90-BJ29,0)+BJ28+BJ19+BJ11*INPUT!$C$8/100</f>
        <v>0</v>
      </c>
      <c r="BK93" s="6">
        <f>BK86+MAX(BK90-BK29,0)+BK28+BK19+BK11*INPUT!$C$8/100</f>
        <v>0</v>
      </c>
    </row>
    <row r="94" spans="2:63" x14ac:dyDescent="0.25">
      <c r="B94" s="1" t="s">
        <v>387</v>
      </c>
      <c r="D94" s="6">
        <f t="shared" ref="D94:AI94" si="65">IF($C$136&gt;0,$C$152*D11/$C$136,0)</f>
        <v>0</v>
      </c>
      <c r="E94" s="6">
        <f t="shared" si="65"/>
        <v>0</v>
      </c>
      <c r="F94" s="6">
        <f t="shared" si="65"/>
        <v>0</v>
      </c>
      <c r="G94" s="6">
        <f t="shared" si="65"/>
        <v>0</v>
      </c>
      <c r="H94" s="6">
        <f t="shared" si="65"/>
        <v>0</v>
      </c>
      <c r="I94" s="6">
        <f t="shared" si="65"/>
        <v>0</v>
      </c>
      <c r="J94" s="6">
        <f t="shared" si="65"/>
        <v>0</v>
      </c>
      <c r="K94" s="6">
        <f t="shared" si="65"/>
        <v>0</v>
      </c>
      <c r="L94" s="6">
        <f t="shared" si="65"/>
        <v>0</v>
      </c>
      <c r="M94" s="6">
        <f t="shared" si="65"/>
        <v>0</v>
      </c>
      <c r="N94" s="6">
        <f t="shared" si="65"/>
        <v>0</v>
      </c>
      <c r="O94" s="6">
        <f t="shared" si="65"/>
        <v>0</v>
      </c>
      <c r="P94" s="6">
        <f t="shared" si="65"/>
        <v>0</v>
      </c>
      <c r="Q94" s="6">
        <f t="shared" si="65"/>
        <v>0</v>
      </c>
      <c r="R94" s="6">
        <f t="shared" si="65"/>
        <v>0</v>
      </c>
      <c r="S94" s="6">
        <f t="shared" si="65"/>
        <v>0</v>
      </c>
      <c r="T94" s="6">
        <f t="shared" si="65"/>
        <v>0</v>
      </c>
      <c r="U94" s="6">
        <f t="shared" si="65"/>
        <v>0</v>
      </c>
      <c r="V94" s="6">
        <f t="shared" si="65"/>
        <v>0</v>
      </c>
      <c r="W94" s="6">
        <f t="shared" si="65"/>
        <v>0</v>
      </c>
      <c r="X94" s="6">
        <f t="shared" si="65"/>
        <v>0</v>
      </c>
      <c r="Y94" s="6">
        <f t="shared" si="65"/>
        <v>0</v>
      </c>
      <c r="Z94" s="6">
        <f t="shared" si="65"/>
        <v>0</v>
      </c>
      <c r="AA94" s="6">
        <f t="shared" si="65"/>
        <v>0</v>
      </c>
      <c r="AB94" s="6">
        <f t="shared" si="65"/>
        <v>0</v>
      </c>
      <c r="AC94" s="6">
        <f t="shared" si="65"/>
        <v>0</v>
      </c>
      <c r="AD94" s="6">
        <f t="shared" si="65"/>
        <v>0</v>
      </c>
      <c r="AE94" s="6">
        <f t="shared" si="65"/>
        <v>0</v>
      </c>
      <c r="AF94" s="6">
        <f t="shared" si="65"/>
        <v>0</v>
      </c>
      <c r="AG94" s="6">
        <f t="shared" si="65"/>
        <v>0</v>
      </c>
      <c r="AH94" s="6">
        <f t="shared" si="65"/>
        <v>0</v>
      </c>
      <c r="AI94" s="6">
        <f t="shared" si="65"/>
        <v>0</v>
      </c>
      <c r="AJ94" s="6">
        <f t="shared" ref="AJ94:BK94" si="66">IF($C$136&gt;0,$C$152*AJ11/$C$136,0)</f>
        <v>0</v>
      </c>
      <c r="AK94" s="6">
        <f t="shared" si="66"/>
        <v>0</v>
      </c>
      <c r="AL94" s="6">
        <f t="shared" si="66"/>
        <v>0</v>
      </c>
      <c r="AM94" s="6">
        <f t="shared" si="66"/>
        <v>0</v>
      </c>
      <c r="AN94" s="6">
        <f t="shared" si="66"/>
        <v>0</v>
      </c>
      <c r="AO94" s="6">
        <f t="shared" si="66"/>
        <v>0</v>
      </c>
      <c r="AP94" s="6">
        <f t="shared" si="66"/>
        <v>0</v>
      </c>
      <c r="AQ94" s="6">
        <f t="shared" si="66"/>
        <v>0</v>
      </c>
      <c r="AR94" s="6">
        <f t="shared" si="66"/>
        <v>0</v>
      </c>
      <c r="AS94" s="6">
        <f t="shared" si="66"/>
        <v>0</v>
      </c>
      <c r="AT94" s="6">
        <f t="shared" si="66"/>
        <v>0</v>
      </c>
      <c r="AU94" s="6">
        <f t="shared" si="66"/>
        <v>0</v>
      </c>
      <c r="AV94" s="6">
        <f t="shared" si="66"/>
        <v>0</v>
      </c>
      <c r="AW94" s="6">
        <f t="shared" si="66"/>
        <v>0</v>
      </c>
      <c r="AX94" s="6">
        <f t="shared" si="66"/>
        <v>0</v>
      </c>
      <c r="AY94" s="6">
        <f t="shared" si="66"/>
        <v>0</v>
      </c>
      <c r="AZ94" s="6">
        <f t="shared" si="66"/>
        <v>0</v>
      </c>
      <c r="BA94" s="6">
        <f t="shared" si="66"/>
        <v>0</v>
      </c>
      <c r="BB94" s="6">
        <f t="shared" si="66"/>
        <v>0</v>
      </c>
      <c r="BC94" s="6">
        <f t="shared" si="66"/>
        <v>0</v>
      </c>
      <c r="BD94" s="6">
        <f t="shared" si="66"/>
        <v>0</v>
      </c>
      <c r="BE94" s="6">
        <f t="shared" si="66"/>
        <v>0</v>
      </c>
      <c r="BF94" s="6">
        <f t="shared" si="66"/>
        <v>0</v>
      </c>
      <c r="BG94" s="6">
        <f t="shared" si="66"/>
        <v>0</v>
      </c>
      <c r="BH94" s="6">
        <f t="shared" si="66"/>
        <v>0</v>
      </c>
      <c r="BI94" s="6">
        <f t="shared" si="66"/>
        <v>0</v>
      </c>
      <c r="BJ94" s="6">
        <f t="shared" si="66"/>
        <v>0</v>
      </c>
      <c r="BK94" s="6">
        <f t="shared" si="66"/>
        <v>0</v>
      </c>
    </row>
    <row r="95" spans="2:63" x14ac:dyDescent="0.25">
      <c r="B95" s="1" t="s">
        <v>388</v>
      </c>
      <c r="D95" s="6">
        <f>D11-D13-D18-D19-D94-IF(AND(D11&gt;0,SUM(E11:BK11)=0),0,D11*INPUT!$C$8/100)</f>
        <v>-200000000000</v>
      </c>
      <c r="E95" s="6">
        <f>E11-E13-E18-E19-E94-IF(AND(E11&gt;0,SUM(F11:BK11)=0),0,E11*INPUT!$C$8/100)</f>
        <v>-215000000000</v>
      </c>
      <c r="F95" s="6">
        <f>F11-F13-F18-F19-F94-IF(AND(F11&gt;0,SUM(G11:BK11)=0),0,F11*INPUT!$C$8/100)</f>
        <v>-405318359300</v>
      </c>
      <c r="G95" s="6">
        <f>G11-G13-G18-G19-G94-IF(AND(G11&gt;0,SUM(H11:BK11)=0),0,G11*INPUT!$C$8/100)</f>
        <v>562701058412.24829</v>
      </c>
      <c r="H95" s="6">
        <f>H11-H13-H18-H19-H94-IF(AND(H11&gt;0,SUM(I11:BK11)=0),0,H11*INPUT!$C$8/100)</f>
        <v>238324229746.84265</v>
      </c>
      <c r="I95" s="6">
        <f>I11-I13-I18-I19-I94-IF(AND(I11&gt;0,SUM(J11:BK11)=0),0,I11*INPUT!$C$8/100)</f>
        <v>0</v>
      </c>
      <c r="J95" s="6">
        <f>J11-J13-J18-J19-J94-IF(AND(J11&gt;0,SUM(K11:BK11)=0),0,J11*INPUT!$C$8/100)</f>
        <v>0</v>
      </c>
      <c r="K95" s="6">
        <f>K11-K13-K18-K19-K94-IF(AND(K11&gt;0,SUM(L11:BK11)=0),0,K11*INPUT!$C$8/100)</f>
        <v>0</v>
      </c>
      <c r="L95" s="6">
        <f>L11-L13-L18-L19-L94-IF(AND(L11&gt;0,SUM(M11:BK11)=0),0,L11*INPUT!$C$8/100)</f>
        <v>0</v>
      </c>
      <c r="M95" s="6">
        <f>M11-M13-M18-M19-M94-IF(AND(M11&gt;0,SUM(N11:BK11)=0),0,M11*INPUT!$C$8/100)</f>
        <v>0</v>
      </c>
      <c r="N95" s="6">
        <f>N11-N13-N18-N19-N94-IF(AND(N11&gt;0,SUM(O11:BK11)=0),0,N11*INPUT!$C$8/100)</f>
        <v>0</v>
      </c>
      <c r="O95" s="6">
        <f>O11-O13-O18-O19-O94-IF(AND(O11&gt;0,SUM(P11:BK11)=0),0,O11*INPUT!$C$8/100)</f>
        <v>0</v>
      </c>
      <c r="P95" s="6">
        <f>P11-P13-P18-P19-P94-IF(AND(P11&gt;0,SUM(Q11:BK11)=0),0,P11*INPUT!$C$8/100)</f>
        <v>0</v>
      </c>
      <c r="Q95" s="6">
        <f>Q11-Q13-Q18-Q19-Q94-IF(AND(Q11&gt;0,SUM(R11:BK11)=0),0,Q11*INPUT!$C$8/100)</f>
        <v>0</v>
      </c>
      <c r="R95" s="6">
        <f>R11-R13-R18-R19-R94-IF(AND(R11&gt;0,SUM(S11:BK11)=0),0,R11*INPUT!$C$8/100)</f>
        <v>0</v>
      </c>
      <c r="S95" s="6">
        <f>S11-S13-S18-S19-S94-IF(AND(S11&gt;0,SUM(T11:BK11)=0),0,S11*INPUT!$C$8/100)</f>
        <v>0</v>
      </c>
      <c r="T95" s="6">
        <f>T11-T13-T18-T19-T94-IF(AND(T11&gt;0,SUM(U11:BK11)=0),0,T11*INPUT!$C$8/100)</f>
        <v>0</v>
      </c>
      <c r="U95" s="6">
        <f>U11-U13-U18-U19-U94-IF(AND(U11&gt;0,SUM(V11:BK11)=0),0,U11*INPUT!$C$8/100)</f>
        <v>0</v>
      </c>
      <c r="V95" s="6">
        <f>V11-V13-V18-V19-V94-IF(AND(V11&gt;0,SUM(W11:BK11)=0),0,V11*INPUT!$C$8/100)</f>
        <v>0</v>
      </c>
      <c r="W95" s="6">
        <f>W11-W13-W18-W19-W94-IF(AND(W11&gt;0,SUM(X11:BK11)=0),0,W11*INPUT!$C$8/100)</f>
        <v>0</v>
      </c>
      <c r="X95" s="6">
        <f>X11-X13-X18-X19-X94-IF(AND(X11&gt;0,SUM(Y11:BK11)=0),0,X11*INPUT!$C$8/100)</f>
        <v>0</v>
      </c>
      <c r="Y95" s="6">
        <f>Y11-Y13-Y18-Y19-Y94-IF(AND(Y11&gt;0,SUM(Z11:BK11)=0),0,Y11*INPUT!$C$8/100)</f>
        <v>0</v>
      </c>
      <c r="Z95" s="6">
        <f>Z11-Z13-Z18-Z19-Z94-IF(AND(Z11&gt;0,SUM(AA11:BK11)=0),0,Z11*INPUT!$C$8/100)</f>
        <v>0</v>
      </c>
      <c r="AA95" s="6">
        <f>AA11-AA13-AA18-AA19-AA94-IF(AND(AA11&gt;0,SUM(AB11:BK11)=0),0,AA11*INPUT!$C$8/100)</f>
        <v>0</v>
      </c>
      <c r="AB95" s="6">
        <f>AB11-AB13-AB18-AB19-AB94-IF(AND(AB11&gt;0,SUM(AC11:BK11)=0),0,AB11*INPUT!$C$8/100)</f>
        <v>0</v>
      </c>
      <c r="AC95" s="6">
        <f>AC11-AC13-AC18-AC19-AC94-IF(AND(AC11&gt;0,SUM(AD11:BK11)=0),0,AC11*INPUT!$C$8/100)</f>
        <v>0</v>
      </c>
      <c r="AD95" s="6">
        <f>AD11-AD13-AD18-AD19-AD94-IF(AND(AD11&gt;0,SUM(AE11:BK11)=0),0,AD11*INPUT!$C$8/100)</f>
        <v>0</v>
      </c>
      <c r="AE95" s="6">
        <f>AE11-AE13-AE18-AE19-AE94-IF(AND(AE11&gt;0,SUM(AF11:BK11)=0),0,AE11*INPUT!$C$8/100)</f>
        <v>0</v>
      </c>
      <c r="AF95" s="6">
        <f>AF11-AF13-AF18-AF19-AF94-IF(AND(AF11&gt;0,SUM(AG11:BK11)=0),0,AF11*INPUT!$C$8/100)</f>
        <v>0</v>
      </c>
      <c r="AG95" s="6">
        <f>AG11-AG13-AG18-AG19-AG94-IF(AND(AG11&gt;0,SUM(AH11:BK11)=0),0,AG11*INPUT!$C$8/100)</f>
        <v>0</v>
      </c>
      <c r="AH95" s="6">
        <f>AH11-AH13-AH18-AH19-AH94-IF(AND(AH11&gt;0,SUM(AI11:BK11)=0),0,AH11*INPUT!$C$8/100)</f>
        <v>0</v>
      </c>
      <c r="AI95" s="6">
        <f>AI11-AI13-AI18-AI19-AI94-IF(AND(AI11&gt;0,SUM(AJ11:BK11)=0),0,AI11*INPUT!$C$8/100)</f>
        <v>0</v>
      </c>
      <c r="AJ95" s="6">
        <f>AJ11-AJ13-AJ18-AJ19-AJ94-IF(AND(AJ11&gt;0,SUM(AK11:BK11)=0),0,AJ11*INPUT!$C$8/100)</f>
        <v>0</v>
      </c>
      <c r="AK95" s="6">
        <f>AK11-AK13-AK18-AK19-AK94-IF(AND(AK11&gt;0,SUM(AL11:BK11)=0),0,AK11*INPUT!$C$8/100)</f>
        <v>0</v>
      </c>
      <c r="AL95" s="6">
        <f>AL11-AL13-AL18-AL19-AL94-IF(AND(AL11&gt;0,SUM(AM11:BK11)=0),0,AL11*INPUT!$C$8/100)</f>
        <v>0</v>
      </c>
      <c r="AM95" s="6">
        <f>AM11-AM13-AM18-AM19-AM94-IF(AND(AM11&gt;0,SUM(AN11:BK11)=0),0,AM11*INPUT!$C$8/100)</f>
        <v>0</v>
      </c>
      <c r="AN95" s="6">
        <f>AN11-AN13-AN18-AN19-AN94-IF(AND(AN11&gt;0,SUM(AO11:BK11)=0),0,AN11*INPUT!$C$8/100)</f>
        <v>0</v>
      </c>
      <c r="AO95" s="6">
        <f>AO11-AO13-AO18-AO19-AO94-IF(AND(AO11&gt;0,SUM(AP11:BK11)=0),0,AO11*INPUT!$C$8/100)</f>
        <v>0</v>
      </c>
      <c r="AP95" s="6">
        <f>AP11-AP13-AP18-AP19-AP94-IF(AND(AP11&gt;0,SUM(AQ11:BK11)=0),0,AP11*INPUT!$C$8/100)</f>
        <v>0</v>
      </c>
      <c r="AQ95" s="6">
        <f>AQ11-AQ13-AQ18-AQ19-AQ94-IF(AND(AQ11&gt;0,SUM(AR11:BK11)=0),0,AQ11*INPUT!$C$8/100)</f>
        <v>0</v>
      </c>
      <c r="AR95" s="6">
        <f>AR11-AR13-AR18-AR19-AR94-IF(AND(AR11&gt;0,SUM(AS11:BK11)=0),0,AR11*INPUT!$C$8/100)</f>
        <v>0</v>
      </c>
      <c r="AS95" s="6">
        <f>AS11-AS13-AS18-AS19-AS94-IF(AND(AS11&gt;0,SUM(AT11:BK11)=0),0,AS11*INPUT!$C$8/100)</f>
        <v>0</v>
      </c>
      <c r="AT95" s="6">
        <f>AT11-AT13-AT18-AT19-AT94-IF(AND(AT11&gt;0,SUM(AU11:BK11)=0),0,AT11*INPUT!$C$8/100)</f>
        <v>0</v>
      </c>
      <c r="AU95" s="6">
        <f>AU11-AU13-AU18-AU19-AU94-IF(AND(AU11&gt;0,SUM(AV11:BK11)=0),0,AU11*INPUT!$C$8/100)</f>
        <v>0</v>
      </c>
      <c r="AV95" s="6">
        <f>AV11-AV13-AV18-AV19-AV94-IF(AND(AV11&gt;0,SUM(AW11:BK11)=0),0,AV11*INPUT!$C$8/100)</f>
        <v>0</v>
      </c>
      <c r="AW95" s="6">
        <f>AW11-AW13-AW18-AW19-AW94-IF(AND(AW11&gt;0,SUM(AX11:BK11)=0),0,AW11*INPUT!$C$8/100)</f>
        <v>0</v>
      </c>
      <c r="AX95" s="6">
        <f>AX11-AX13-AX18-AX19-AX94-IF(AND(AX11&gt;0,SUM(AY11:BK11)=0),0,AX11*INPUT!$C$8/100)</f>
        <v>0</v>
      </c>
      <c r="AY95" s="6">
        <f>AY11-AY13-AY18-AY19-AY94-IF(AND(AY11&gt;0,SUM(AZ11:BK11)=0),0,AY11*INPUT!$C$8/100)</f>
        <v>0</v>
      </c>
      <c r="AZ95" s="6">
        <f>AZ11-AZ13-AZ18-AZ19-AZ94-IF(AND(AZ11&gt;0,SUM(BA11:BK11)=0),0,AZ11*INPUT!$C$8/100)</f>
        <v>0</v>
      </c>
      <c r="BA95" s="6">
        <f>BA11-BA13-BA18-BA19-BA94-IF(AND(BA11&gt;0,SUM(BB11:BK11)=0),0,BA11*INPUT!$C$8/100)</f>
        <v>0</v>
      </c>
      <c r="BB95" s="6">
        <f>BB11-BB13-BB18-BB19-BB94-IF(AND(BB11&gt;0,SUM(BC11:BK11)=0),0,BB11*INPUT!$C$8/100)</f>
        <v>0</v>
      </c>
      <c r="BC95" s="6">
        <f>BC11-BC13-BC18-BC19-BC94-IF(AND(BC11&gt;0,SUM(BD11:BK11)=0),0,BC11*INPUT!$C$8/100)</f>
        <v>0</v>
      </c>
      <c r="BD95" s="6">
        <f>BD11-BD13-BD18-BD19-BD94-IF(AND(BD11&gt;0,SUM(BE11:BK11)=0),0,BD11*INPUT!$C$8/100)</f>
        <v>0</v>
      </c>
      <c r="BE95" s="6">
        <f>BE11-BE13-BE18-BE19-BE94-IF(AND(BE11&gt;0,SUM(BF11:BK11)=0),0,BE11*INPUT!$C$8/100)</f>
        <v>0</v>
      </c>
      <c r="BF95" s="6">
        <f>BF11-BF13-BF18-BF19-BF94-IF(AND(BF11&gt;0,SUM(BG11:BK11)=0),0,BF11*INPUT!$C$8/100)</f>
        <v>0</v>
      </c>
      <c r="BG95" s="6">
        <f>BG11-BG13-BG18-BG19-BG94-IF(AND(BG11&gt;0,SUM(BH11:BK11)=0),0,BG11*INPUT!$C$8/100)</f>
        <v>0</v>
      </c>
      <c r="BH95" s="6">
        <f>BH11-BH13-BH18-BH19-BH94-IF(AND(BH11&gt;0,SUM(BI11:BK11)=0),0,BH11*INPUT!$C$8/100)</f>
        <v>0</v>
      </c>
      <c r="BI95" s="6">
        <f>BI11-BI13-BI18-BI19-BI94-IF(AND(BI11&gt;0,SUM(BJ11:BK11)=0),0,BI11*INPUT!$C$8/100)</f>
        <v>0</v>
      </c>
      <c r="BJ95" s="6">
        <f>BJ11-BJ13-BJ18-BJ19-BJ94-IF(AND(BJ11&gt;0,SUM(BK11:BK11)=0),0,BJ11*INPUT!$C$8/100)</f>
        <v>0</v>
      </c>
      <c r="BK95" s="6">
        <f>BK11-BK13-BK18-BK19-BK94-IF(AND(BK11&gt;0,TRUE),0,BK11*INPUT!$C$8/100)</f>
        <v>0</v>
      </c>
    </row>
    <row r="96" spans="2:63" x14ac:dyDescent="0.25">
      <c r="B96" s="1" t="s">
        <v>389</v>
      </c>
      <c r="D96" s="6">
        <f t="shared" ref="D96:AI96" si="67">D65-D20</f>
        <v>0</v>
      </c>
      <c r="E96" s="6">
        <f t="shared" si="67"/>
        <v>0</v>
      </c>
      <c r="F96" s="6">
        <f t="shared" si="67"/>
        <v>0</v>
      </c>
      <c r="G96" s="6">
        <f t="shared" si="67"/>
        <v>0</v>
      </c>
      <c r="H96" s="6">
        <f t="shared" si="67"/>
        <v>0</v>
      </c>
      <c r="I96" s="6">
        <f t="shared" si="67"/>
        <v>0</v>
      </c>
      <c r="J96" s="6">
        <f t="shared" si="67"/>
        <v>0</v>
      </c>
      <c r="K96" s="6">
        <f t="shared" si="67"/>
        <v>0</v>
      </c>
      <c r="L96" s="6">
        <f t="shared" si="67"/>
        <v>0</v>
      </c>
      <c r="M96" s="6">
        <f t="shared" si="67"/>
        <v>0</v>
      </c>
      <c r="N96" s="6">
        <f t="shared" si="67"/>
        <v>0</v>
      </c>
      <c r="O96" s="6">
        <f t="shared" si="67"/>
        <v>0</v>
      </c>
      <c r="P96" s="6">
        <f t="shared" si="67"/>
        <v>0</v>
      </c>
      <c r="Q96" s="6">
        <f t="shared" si="67"/>
        <v>0</v>
      </c>
      <c r="R96" s="6">
        <f t="shared" si="67"/>
        <v>0</v>
      </c>
      <c r="S96" s="6">
        <f t="shared" si="67"/>
        <v>0</v>
      </c>
      <c r="T96" s="6">
        <f t="shared" si="67"/>
        <v>0</v>
      </c>
      <c r="U96" s="6">
        <f t="shared" si="67"/>
        <v>0</v>
      </c>
      <c r="V96" s="6">
        <f t="shared" si="67"/>
        <v>0</v>
      </c>
      <c r="W96" s="6">
        <f t="shared" si="67"/>
        <v>0</v>
      </c>
      <c r="X96" s="6">
        <f t="shared" si="67"/>
        <v>0</v>
      </c>
      <c r="Y96" s="6">
        <f t="shared" si="67"/>
        <v>0</v>
      </c>
      <c r="Z96" s="6">
        <f t="shared" si="67"/>
        <v>0</v>
      </c>
      <c r="AA96" s="6">
        <f t="shared" si="67"/>
        <v>0</v>
      </c>
      <c r="AB96" s="6">
        <f t="shared" si="67"/>
        <v>0</v>
      </c>
      <c r="AC96" s="6">
        <f t="shared" si="67"/>
        <v>0</v>
      </c>
      <c r="AD96" s="6">
        <f t="shared" si="67"/>
        <v>0</v>
      </c>
      <c r="AE96" s="6">
        <f t="shared" si="67"/>
        <v>0</v>
      </c>
      <c r="AF96" s="6">
        <f t="shared" si="67"/>
        <v>0</v>
      </c>
      <c r="AG96" s="6">
        <f t="shared" si="67"/>
        <v>0</v>
      </c>
      <c r="AH96" s="6">
        <f t="shared" si="67"/>
        <v>0</v>
      </c>
      <c r="AI96" s="6">
        <f t="shared" si="67"/>
        <v>0</v>
      </c>
      <c r="AJ96" s="6">
        <f t="shared" ref="AJ96:BK96" si="68">AJ65-AJ20</f>
        <v>0</v>
      </c>
      <c r="AK96" s="6">
        <f t="shared" si="68"/>
        <v>0</v>
      </c>
      <c r="AL96" s="6">
        <f t="shared" si="68"/>
        <v>0</v>
      </c>
      <c r="AM96" s="6">
        <f t="shared" si="68"/>
        <v>0</v>
      </c>
      <c r="AN96" s="6">
        <f t="shared" si="68"/>
        <v>0</v>
      </c>
      <c r="AO96" s="6">
        <f t="shared" si="68"/>
        <v>0</v>
      </c>
      <c r="AP96" s="6">
        <f t="shared" si="68"/>
        <v>0</v>
      </c>
      <c r="AQ96" s="6">
        <f t="shared" si="68"/>
        <v>0</v>
      </c>
      <c r="AR96" s="6">
        <f t="shared" si="68"/>
        <v>0</v>
      </c>
      <c r="AS96" s="6">
        <f t="shared" si="68"/>
        <v>0</v>
      </c>
      <c r="AT96" s="6">
        <f t="shared" si="68"/>
        <v>0</v>
      </c>
      <c r="AU96" s="6">
        <f t="shared" si="68"/>
        <v>0</v>
      </c>
      <c r="AV96" s="6">
        <f t="shared" si="68"/>
        <v>0</v>
      </c>
      <c r="AW96" s="6">
        <f t="shared" si="68"/>
        <v>0</v>
      </c>
      <c r="AX96" s="6">
        <f t="shared" si="68"/>
        <v>0</v>
      </c>
      <c r="AY96" s="6">
        <f t="shared" si="68"/>
        <v>0</v>
      </c>
      <c r="AZ96" s="6">
        <f t="shared" si="68"/>
        <v>0</v>
      </c>
      <c r="BA96" s="6">
        <f t="shared" si="68"/>
        <v>0</v>
      </c>
      <c r="BB96" s="6">
        <f t="shared" si="68"/>
        <v>0</v>
      </c>
      <c r="BC96" s="6">
        <f t="shared" si="68"/>
        <v>0</v>
      </c>
      <c r="BD96" s="6">
        <f t="shared" si="68"/>
        <v>0</v>
      </c>
      <c r="BE96" s="6">
        <f t="shared" si="68"/>
        <v>0</v>
      </c>
      <c r="BF96" s="6">
        <f t="shared" si="68"/>
        <v>0</v>
      </c>
      <c r="BG96" s="6">
        <f t="shared" si="68"/>
        <v>0</v>
      </c>
      <c r="BH96" s="6">
        <f t="shared" si="68"/>
        <v>0</v>
      </c>
      <c r="BI96" s="6">
        <f t="shared" si="68"/>
        <v>0</v>
      </c>
      <c r="BJ96" s="6">
        <f t="shared" si="68"/>
        <v>0</v>
      </c>
      <c r="BK96" s="6">
        <f t="shared" si="68"/>
        <v>0</v>
      </c>
    </row>
    <row r="97" spans="2:63" x14ac:dyDescent="0.25">
      <c r="B97" s="4" t="s">
        <v>390</v>
      </c>
      <c r="C97" s="4" t="s">
        <v>1</v>
      </c>
      <c r="D97" s="4" t="s">
        <v>1</v>
      </c>
      <c r="E97" s="4" t="s">
        <v>1</v>
      </c>
      <c r="F97" s="4" t="s">
        <v>1</v>
      </c>
      <c r="G97" s="4" t="s">
        <v>1</v>
      </c>
      <c r="H97" s="4" t="s">
        <v>1</v>
      </c>
      <c r="I97" s="4" t="s">
        <v>1</v>
      </c>
      <c r="J97" s="4" t="s">
        <v>1</v>
      </c>
      <c r="K97" s="4" t="s">
        <v>1</v>
      </c>
      <c r="L97" s="4" t="s">
        <v>1</v>
      </c>
      <c r="M97" s="4" t="s">
        <v>1</v>
      </c>
      <c r="N97" s="4" t="s">
        <v>1</v>
      </c>
      <c r="O97" s="4" t="s">
        <v>1</v>
      </c>
      <c r="P97" s="4" t="s">
        <v>1</v>
      </c>
      <c r="Q97" s="4" t="s">
        <v>1</v>
      </c>
      <c r="R97" s="4" t="s">
        <v>1</v>
      </c>
      <c r="S97" s="4" t="s">
        <v>1</v>
      </c>
      <c r="T97" s="4" t="s">
        <v>1</v>
      </c>
      <c r="U97" s="4" t="s">
        <v>1</v>
      </c>
      <c r="V97" s="4" t="s">
        <v>1</v>
      </c>
      <c r="W97" s="4" t="s">
        <v>1</v>
      </c>
      <c r="X97" s="4" t="s">
        <v>1</v>
      </c>
      <c r="Y97" s="4" t="s">
        <v>1</v>
      </c>
      <c r="Z97" s="4" t="s">
        <v>1</v>
      </c>
      <c r="AA97" s="4" t="s">
        <v>1</v>
      </c>
      <c r="AB97" s="4" t="s">
        <v>1</v>
      </c>
      <c r="AC97" s="4" t="s">
        <v>1</v>
      </c>
      <c r="AD97" s="4" t="s">
        <v>1</v>
      </c>
      <c r="AE97" s="4" t="s">
        <v>1</v>
      </c>
      <c r="AF97" s="4" t="s">
        <v>1</v>
      </c>
      <c r="AG97" s="4" t="s">
        <v>1</v>
      </c>
      <c r="AH97" s="4" t="s">
        <v>1</v>
      </c>
      <c r="AI97" s="4" t="s">
        <v>1</v>
      </c>
      <c r="AJ97" s="4" t="s">
        <v>1</v>
      </c>
      <c r="AK97" s="4" t="s">
        <v>1</v>
      </c>
      <c r="AL97" s="4" t="s">
        <v>1</v>
      </c>
      <c r="AM97" s="4" t="s">
        <v>1</v>
      </c>
      <c r="AN97" s="4" t="s">
        <v>1</v>
      </c>
      <c r="AO97" s="4" t="s">
        <v>1</v>
      </c>
      <c r="AP97" s="4" t="s">
        <v>1</v>
      </c>
      <c r="AQ97" s="4" t="s">
        <v>1</v>
      </c>
      <c r="AR97" s="4" t="s">
        <v>1</v>
      </c>
      <c r="AS97" s="4" t="s">
        <v>1</v>
      </c>
      <c r="AT97" s="4" t="s">
        <v>1</v>
      </c>
      <c r="AU97" s="4" t="s">
        <v>1</v>
      </c>
      <c r="AV97" s="4" t="s">
        <v>1</v>
      </c>
      <c r="AW97" s="4" t="s">
        <v>1</v>
      </c>
      <c r="AX97" s="4" t="s">
        <v>1</v>
      </c>
      <c r="AY97" s="4" t="s">
        <v>1</v>
      </c>
      <c r="AZ97" s="4" t="s">
        <v>1</v>
      </c>
      <c r="BA97" s="4" t="s">
        <v>1</v>
      </c>
      <c r="BB97" s="4" t="s">
        <v>1</v>
      </c>
      <c r="BC97" s="4" t="s">
        <v>1</v>
      </c>
      <c r="BD97" s="4" t="s">
        <v>1</v>
      </c>
      <c r="BE97" s="4" t="s">
        <v>1</v>
      </c>
      <c r="BF97" s="4" t="s">
        <v>1</v>
      </c>
      <c r="BG97" s="4" t="s">
        <v>1</v>
      </c>
      <c r="BH97" s="4" t="s">
        <v>1</v>
      </c>
      <c r="BI97" s="4" t="s">
        <v>1</v>
      </c>
      <c r="BJ97" s="4" t="s">
        <v>1</v>
      </c>
      <c r="BK97" s="4" t="s">
        <v>1</v>
      </c>
    </row>
    <row r="98" spans="2:63" x14ac:dyDescent="0.25">
      <c r="B98" s="2" t="s">
        <v>391</v>
      </c>
      <c r="C98">
        <f>SUMPRODUCT((INPUT!$C$43:$F$43-INPUT!$C$45:$F$45)*INPUT!$C$46:$F$46/100*(INPUT!$C$50:$F$50&lt;&gt;2))</f>
        <v>14126.887500000001</v>
      </c>
    </row>
    <row r="99" spans="2:63" x14ac:dyDescent="0.25">
      <c r="B99" s="2" t="s">
        <v>392</v>
      </c>
      <c r="C99">
        <f>SUMPRODUCT(INPUT!$C$47:$F$47*(INPUT!$C$50:$F$50&lt;&gt;2))</f>
        <v>1581</v>
      </c>
    </row>
    <row r="100" spans="2:63" x14ac:dyDescent="0.25">
      <c r="B100" s="2" t="s">
        <v>393</v>
      </c>
      <c r="C100" s="6">
        <f>SUMPRODUCT((INPUT!$C$43:$F$43+INPUT!$C$44:$F$44)*INPUT!$C$48:$F$48)*1000000*(1+INPUT!$C$18/100)/(1+INPUT!$C$6/100)</f>
        <v>339908522727.27271</v>
      </c>
    </row>
    <row r="101" spans="2:63" x14ac:dyDescent="0.25">
      <c r="B101" s="2" t="s">
        <v>394</v>
      </c>
      <c r="C101" s="6">
        <f>SUMPRODUCT((INPUT!$C$43:$F$43+INPUT!$C$44:$F$44)*INPUT!$C$48:$F$48*(INPUT!$C$50:$F$50=2))*1000000*(1+INPUT!$C$18/100)/(1+INPUT!$C$6/100)</f>
        <v>0</v>
      </c>
    </row>
    <row r="102" spans="2:63" x14ac:dyDescent="0.25">
      <c r="B102" s="2" t="s">
        <v>395</v>
      </c>
      <c r="C102" s="6">
        <f>$C$100-$C$101</f>
        <v>339908522727.27271</v>
      </c>
    </row>
    <row r="103" spans="2:63" x14ac:dyDescent="0.25">
      <c r="B103" s="2" t="s">
        <v>396</v>
      </c>
      <c r="C103">
        <f>SUMPRODUCT((INPUT!$C$43:$F$43+INPUT!$C$44:$F$44)*(INPUT!$C$50:$F$50=2))</f>
        <v>0</v>
      </c>
    </row>
    <row r="104" spans="2:63" x14ac:dyDescent="0.25">
      <c r="B104" s="2" t="s">
        <v>397</v>
      </c>
      <c r="C104">
        <f>SUM(INPUT!$C$43:$F$43)+SUM(INPUT!$C$44:$F$44)</f>
        <v>27696.25</v>
      </c>
    </row>
    <row r="105" spans="2:63" x14ac:dyDescent="0.25">
      <c r="B105" s="2" t="s">
        <v>398</v>
      </c>
      <c r="C105" s="8">
        <f>IF(INPUT!$C$96=2,IF($C$104&gt;0,$C$103/$C$104,0),IF(INPUT!$C$96=3,INPUT!$C$97/100,IF($C$100&gt;0,$C$101/$C$100,0)))</f>
        <v>0</v>
      </c>
    </row>
    <row r="106" spans="2:63" x14ac:dyDescent="0.25">
      <c r="B106" s="2" t="s">
        <v>399</v>
      </c>
      <c r="C106" s="8">
        <f>IF(SUMPRODUCT(INPUT!$C$45:$F$45)&gt;0,SUMPRODUCT(INPUT!$C$45:$F$45*(INPUT!$C$50:$F$50=2))/SUMPRODUCT(INPUT!$C$45:$F$45),$C$105)</f>
        <v>0</v>
      </c>
    </row>
    <row r="107" spans="2:63" x14ac:dyDescent="0.25">
      <c r="B107" s="2" t="s">
        <v>400</v>
      </c>
      <c r="C107" s="6">
        <f>$C$101+$C$105*($C$108+$C$109+$C$110)</f>
        <v>0</v>
      </c>
    </row>
    <row r="108" spans="2:63" x14ac:dyDescent="0.25">
      <c r="B108" s="2" t="s">
        <v>401</v>
      </c>
      <c r="C108" s="6">
        <f>INPUT!$C$10*INPUT!$C$17*1000000</f>
        <v>7090000000</v>
      </c>
    </row>
    <row r="109" spans="2:63" x14ac:dyDescent="0.25">
      <c r="B109" s="2" t="s">
        <v>402</v>
      </c>
      <c r="C109" s="6">
        <f>INPUT!$C$19/100*$C$100</f>
        <v>20394511363.63636</v>
      </c>
    </row>
    <row r="110" spans="2:63" x14ac:dyDescent="0.25">
      <c r="B110" s="2" t="s">
        <v>266</v>
      </c>
      <c r="C110" s="6">
        <f>INPUT!$C$20/100*($C$100+$C$109)</f>
        <v>36030303409.090904</v>
      </c>
    </row>
    <row r="111" spans="2:63" x14ac:dyDescent="0.25">
      <c r="B111" s="2" t="s">
        <v>403</v>
      </c>
      <c r="C111" s="6">
        <f>$C$108+$C$100+$C$109+$C$110</f>
        <v>403423337499.99994</v>
      </c>
    </row>
    <row r="112" spans="2:63" x14ac:dyDescent="0.25">
      <c r="B112" s="2" t="s">
        <v>404</v>
      </c>
      <c r="C112" s="6">
        <f>$C$111*(1+INPUT!$C$6/100)</f>
        <v>443765671249.99994</v>
      </c>
    </row>
    <row r="113" spans="2:3" x14ac:dyDescent="0.25">
      <c r="B113" s="2" t="s">
        <v>261</v>
      </c>
      <c r="C113" s="6">
        <f>IF(INPUT!$C$117&gt;0,INPUT!$C$117*1000000000,INPUT!$C$16/100*$C$111)</f>
        <v>60000000000</v>
      </c>
    </row>
    <row r="114" spans="2:3" x14ac:dyDescent="0.25">
      <c r="B114" s="2" t="s">
        <v>405</v>
      </c>
      <c r="C114" s="6">
        <f>(INPUT!$C$12+INPUT!$C$13+INPUT!$C$14+INPUT!$C$15)*1000000000+$C$113</f>
        <v>749069999999.99988</v>
      </c>
    </row>
    <row r="115" spans="2:3" x14ac:dyDescent="0.25">
      <c r="B115" s="2" t="s">
        <v>406</v>
      </c>
      <c r="C115" s="6">
        <f>$C$114+$C$112</f>
        <v>1192835671249.9998</v>
      </c>
    </row>
    <row r="116" spans="2:3" x14ac:dyDescent="0.25">
      <c r="B116" s="2" t="s">
        <v>134</v>
      </c>
      <c r="C116" s="6">
        <f>INPUT!$C$14*1000000000</f>
        <v>289070000000</v>
      </c>
    </row>
    <row r="117" spans="2:3" x14ac:dyDescent="0.25">
      <c r="B117" s="2" t="s">
        <v>407</v>
      </c>
      <c r="C117" s="8">
        <f>IF(($C$98+$C$99)&gt;0,$C$99/($C$98+$C$99),0)</f>
        <v>0.10065007150070307</v>
      </c>
    </row>
    <row r="118" spans="2:3" x14ac:dyDescent="0.25">
      <c r="B118" s="2" t="s">
        <v>408</v>
      </c>
      <c r="C118" s="8">
        <f>(INPUT!$C$21+INPUT!$C$22)/100</f>
        <v>0.17</v>
      </c>
    </row>
    <row r="119" spans="2:3" x14ac:dyDescent="0.25">
      <c r="B119" s="2" t="s">
        <v>409</v>
      </c>
      <c r="C119" s="8">
        <f>INPUT!$C$9/100</f>
        <v>0.05</v>
      </c>
    </row>
    <row r="120" spans="2:3" x14ac:dyDescent="0.25">
      <c r="B120" s="2" t="s">
        <v>410</v>
      </c>
      <c r="C120">
        <f>INPUT!$C$23*1000000</f>
        <v>88000000</v>
      </c>
    </row>
    <row r="121" spans="2:3" x14ac:dyDescent="0.25">
      <c r="B121" s="2" t="s">
        <v>411</v>
      </c>
      <c r="C121">
        <f>INPUT!$C$23*INPUT!$C$24/100*1000000</f>
        <v>114400000</v>
      </c>
    </row>
    <row r="122" spans="2:3" x14ac:dyDescent="0.25">
      <c r="B122" s="2" t="s">
        <v>412</v>
      </c>
      <c r="C122">
        <f>_xlfn.MINIFS(TIENDO!$C$2:$O$2,TIENDO!$C$16:$O$16,"&gt;0")</f>
        <v>2028</v>
      </c>
    </row>
    <row r="123" spans="2:3" x14ac:dyDescent="0.25">
      <c r="B123" s="2" t="s">
        <v>413</v>
      </c>
      <c r="C123">
        <f>_xlfn.MINIFS(TIENDO!$C$2:$O$2,TIENDO!$C$17:$O$17,"&gt;0")</f>
        <v>2028</v>
      </c>
    </row>
    <row r="124" spans="2:3" x14ac:dyDescent="0.25">
      <c r="B124" s="2" t="s">
        <v>414</v>
      </c>
      <c r="C124" s="6">
        <f>INPUT!$C$12*1000000000</f>
        <v>400000000000</v>
      </c>
    </row>
    <row r="125" spans="2:3" x14ac:dyDescent="0.25">
      <c r="B125" s="2" t="s">
        <v>415</v>
      </c>
      <c r="C125" s="6">
        <f>INPUT!$C$13*1000000000</f>
        <v>0</v>
      </c>
    </row>
    <row r="126" spans="2:3" x14ac:dyDescent="0.25">
      <c r="B126" s="2" t="s">
        <v>416</v>
      </c>
      <c r="C126" s="6">
        <f>$C$116</f>
        <v>289070000000</v>
      </c>
    </row>
    <row r="127" spans="2:3" x14ac:dyDescent="0.25">
      <c r="B127" s="2" t="s">
        <v>417</v>
      </c>
      <c r="C127" s="6">
        <f>$C$113</f>
        <v>60000000000</v>
      </c>
    </row>
    <row r="128" spans="2:3" x14ac:dyDescent="0.25">
      <c r="B128" s="2" t="s">
        <v>418</v>
      </c>
      <c r="C128" s="6">
        <f>$C$108*(1+INPUT!$C$6/100)</f>
        <v>7799000000.000001</v>
      </c>
    </row>
    <row r="129" spans="2:3" x14ac:dyDescent="0.25">
      <c r="B129" s="2" t="s">
        <v>419</v>
      </c>
      <c r="C129" s="6">
        <f>$C$102*(1+INPUT!$C$6/100)</f>
        <v>373899375000</v>
      </c>
    </row>
    <row r="130" spans="2:3" x14ac:dyDescent="0.25">
      <c r="B130" s="2" t="s">
        <v>420</v>
      </c>
      <c r="C130" s="6">
        <f>$C$101*(1+INPUT!$C$6/100)</f>
        <v>0</v>
      </c>
    </row>
    <row r="131" spans="2:3" x14ac:dyDescent="0.25">
      <c r="B131" s="2" t="s">
        <v>421</v>
      </c>
      <c r="C131" s="6">
        <f>$C$109*(1+INPUT!$C$6/100)</f>
        <v>22433962499.999996</v>
      </c>
    </row>
    <row r="132" spans="2:3" x14ac:dyDescent="0.25">
      <c r="B132" s="2" t="s">
        <v>422</v>
      </c>
      <c r="C132" s="6">
        <f>$C$110*(1+INPUT!$C$6/100)</f>
        <v>39633333750</v>
      </c>
    </row>
    <row r="133" spans="2:3" x14ac:dyDescent="0.25">
      <c r="B133" s="2" t="s">
        <v>423</v>
      </c>
      <c r="C133" s="6">
        <f>SUM(D34:BK34)</f>
        <v>1293514327050</v>
      </c>
    </row>
    <row r="134" spans="2:3" x14ac:dyDescent="0.25">
      <c r="B134" s="2" t="s">
        <v>424</v>
      </c>
      <c r="C134" s="6">
        <f>SUM(D35:BK35)</f>
        <v>188191489200</v>
      </c>
    </row>
    <row r="135" spans="2:3" x14ac:dyDescent="0.25">
      <c r="B135" s="2" t="s">
        <v>425</v>
      </c>
      <c r="C135" s="6">
        <f>$C$133+$C$134</f>
        <v>1481705816250</v>
      </c>
    </row>
    <row r="136" spans="2:3" x14ac:dyDescent="0.25">
      <c r="B136" s="2" t="s">
        <v>426</v>
      </c>
      <c r="C136" s="6">
        <f>SUM(D11:BK11)</f>
        <v>1481705816250</v>
      </c>
    </row>
    <row r="137" spans="2:3" x14ac:dyDescent="0.25">
      <c r="B137" s="2" t="s">
        <v>427</v>
      </c>
      <c r="C137" s="6">
        <f>($C$133-(1-$C$117)*$C$116)*(INPUT!$C$6/100)/(1+INPUT!$C$6/100)+($C$134-$C$117*$C$116)*(INPUT!$C$6/100)/(1+INPUT!$C$6/100)</f>
        <v>108421437840.90909</v>
      </c>
    </row>
    <row r="138" spans="2:3" x14ac:dyDescent="0.25">
      <c r="B138" s="2" t="s">
        <v>428</v>
      </c>
      <c r="C138" s="6">
        <f>SUM(D18:BK18)</f>
        <v>251889988762.5</v>
      </c>
    </row>
    <row r="139" spans="2:3" x14ac:dyDescent="0.25">
      <c r="B139" s="2" t="s">
        <v>429</v>
      </c>
      <c r="C139" s="6">
        <f>(INPUT!$C$6/100)*($C$111-$C$107)+(INPUT!$C$6/100)/(1+INPUT!$C$6/100)*$C$138</f>
        <v>63241423637.499992</v>
      </c>
    </row>
    <row r="140" spans="2:3" x14ac:dyDescent="0.25">
      <c r="B140" s="2" t="s">
        <v>430</v>
      </c>
      <c r="C140" s="6">
        <f>MAX($C$137-$C$139,0)</f>
        <v>45180014203.409096</v>
      </c>
    </row>
    <row r="141" spans="2:3" x14ac:dyDescent="0.25">
      <c r="B141" s="2" t="s">
        <v>431</v>
      </c>
      <c r="C141" s="6">
        <f>SUM(D20:BK20)</f>
        <v>0</v>
      </c>
    </row>
    <row r="142" spans="2:3" x14ac:dyDescent="0.25">
      <c r="B142" s="2" t="s">
        <v>379</v>
      </c>
      <c r="C142" s="6">
        <f>SUM(D87:BK87)</f>
        <v>1192835671250</v>
      </c>
    </row>
    <row r="143" spans="2:3" x14ac:dyDescent="0.25">
      <c r="B143" s="2" t="s">
        <v>432</v>
      </c>
      <c r="C143" s="8">
        <f>IF($C$142&gt;0,$C$141/$C$142,0)</f>
        <v>0</v>
      </c>
    </row>
    <row r="144" spans="2:3" x14ac:dyDescent="0.25">
      <c r="B144" s="2" t="s">
        <v>433</v>
      </c>
      <c r="C144" s="6">
        <f>SUM(D28:BK28)</f>
        <v>38930360154</v>
      </c>
    </row>
    <row r="145" spans="2:3" x14ac:dyDescent="0.25">
      <c r="B145" s="2" t="s">
        <v>434</v>
      </c>
      <c r="C145" s="6">
        <f>$C$135-$C$137</f>
        <v>1373284378409.0908</v>
      </c>
    </row>
    <row r="146" spans="2:3" x14ac:dyDescent="0.25">
      <c r="B146" s="2" t="s">
        <v>435</v>
      </c>
      <c r="C146" s="6">
        <f>$C$145-(($C$114+$C$111)*(1-$C$143)+$C$144+$C$138/(1+INPUT!$C$6/100))</f>
        <v>-47130218119.908936</v>
      </c>
    </row>
    <row r="147" spans="2:3" x14ac:dyDescent="0.25">
      <c r="B147" s="2" t="s">
        <v>436</v>
      </c>
      <c r="C147" s="6">
        <f>(1-$C$143)*$C$144</f>
        <v>38930360154</v>
      </c>
    </row>
    <row r="148" spans="2:3" x14ac:dyDescent="0.25">
      <c r="B148" s="2" t="s">
        <v>437</v>
      </c>
      <c r="C148" s="6">
        <f>$C$143*$C$144</f>
        <v>0</v>
      </c>
    </row>
    <row r="149" spans="2:3" x14ac:dyDescent="0.25">
      <c r="B149" s="2" t="s">
        <v>438</v>
      </c>
      <c r="C149" s="6">
        <f>(INPUT!$C$6/100)*$C$107</f>
        <v>0</v>
      </c>
    </row>
    <row r="150" spans="2:3" x14ac:dyDescent="0.25">
      <c r="B150" s="2" t="s">
        <v>439</v>
      </c>
      <c r="C150" s="6">
        <f>$C$145-(($C$114+$C$111)*(1-$C$143)+$C$147+$C$138/(1+INPUT!$C$6/100))</f>
        <v>-47130218119.908936</v>
      </c>
    </row>
    <row r="151" spans="2:3" x14ac:dyDescent="0.25">
      <c r="B151" s="2" t="s">
        <v>440</v>
      </c>
      <c r="C151" s="6">
        <f>$C$150-$C$152</f>
        <v>-47130218119.908936</v>
      </c>
    </row>
    <row r="152" spans="2:3" x14ac:dyDescent="0.25">
      <c r="B152" s="2" t="s">
        <v>441</v>
      </c>
      <c r="C152" s="6">
        <f>MAX($C$150,0)*INPUT!$C$7/100</f>
        <v>0</v>
      </c>
    </row>
    <row r="153" spans="2:3" x14ac:dyDescent="0.25">
      <c r="B153" s="2" t="s">
        <v>442</v>
      </c>
      <c r="C153" s="6">
        <f>SUM(D66:BK66)</f>
        <v>0</v>
      </c>
    </row>
    <row r="154" spans="2:3" x14ac:dyDescent="0.25">
      <c r="B154" s="2" t="s">
        <v>443</v>
      </c>
      <c r="C154" s="6">
        <f>$C$136-MAX($C$142-$C$139-$C$149,0)-($C$138+$C$140)-$C$144+(SUM(D62:BK62)-SUM(D63:BK63)-$C$148)</f>
        <v>16111205517.590881</v>
      </c>
    </row>
    <row r="155" spans="2:3" x14ac:dyDescent="0.25">
      <c r="B155" s="2" t="s">
        <v>444</v>
      </c>
      <c r="C155" s="6">
        <f>SUM(D26:BK26)</f>
        <v>3222241103.5181761</v>
      </c>
    </row>
  </sheetData>
  <mergeCells count="1">
    <mergeCell ref="B1:B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</sheetPr>
  <dimension ref="B1:S31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1" width="2" customWidth="1"/>
    <col min="2" max="2" width="50" customWidth="1"/>
    <col min="3" max="3" width="16" customWidth="1"/>
    <col min="4" max="18" width="13" customWidth="1"/>
  </cols>
  <sheetData>
    <row r="1" spans="2:18" ht="26.1" customHeight="1" x14ac:dyDescent="0.25">
      <c r="B1" s="22" t="s">
        <v>445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2:18" ht="18" customHeight="1" x14ac:dyDescent="0.25">
      <c r="B2" s="3" t="s">
        <v>302</v>
      </c>
      <c r="C2" s="3" t="s">
        <v>446</v>
      </c>
      <c r="D2" s="3">
        <v>2026</v>
      </c>
      <c r="E2" s="3">
        <v>2027</v>
      </c>
      <c r="F2" s="3">
        <v>2028</v>
      </c>
      <c r="G2" s="3">
        <v>2029</v>
      </c>
      <c r="H2" s="3">
        <v>2030</v>
      </c>
      <c r="I2" s="3">
        <v>2031</v>
      </c>
      <c r="J2" s="3">
        <v>2032</v>
      </c>
      <c r="K2" s="3">
        <v>2033</v>
      </c>
      <c r="L2" s="3">
        <v>2034</v>
      </c>
      <c r="M2" s="3">
        <v>2035</v>
      </c>
      <c r="N2" s="3">
        <v>2036</v>
      </c>
      <c r="O2" s="3">
        <v>2037</v>
      </c>
      <c r="P2" s="3">
        <v>2038</v>
      </c>
      <c r="Q2" s="3">
        <v>2039</v>
      </c>
      <c r="R2" s="3">
        <v>2040</v>
      </c>
    </row>
    <row r="3" spans="2:18" x14ac:dyDescent="0.25">
      <c r="B3" s="4" t="s">
        <v>447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</row>
    <row r="4" spans="2:18" x14ac:dyDescent="0.25">
      <c r="B4" s="1" t="s">
        <v>448</v>
      </c>
      <c r="C4" s="6">
        <f>FS!$C$11</f>
        <v>1481705816250</v>
      </c>
      <c r="D4" s="6">
        <f>FS!D11</f>
        <v>0</v>
      </c>
      <c r="E4" s="6">
        <f>FS!E11</f>
        <v>0</v>
      </c>
      <c r="F4" s="6">
        <f>FS!F11</f>
        <v>170883900000</v>
      </c>
      <c r="G4" s="6">
        <f>FS!G11</f>
        <v>938437417500</v>
      </c>
      <c r="H4" s="6">
        <f>FS!H11</f>
        <v>372384498750</v>
      </c>
      <c r="I4" s="6">
        <f>FS!I11</f>
        <v>0</v>
      </c>
      <c r="J4" s="6">
        <f>FS!J11</f>
        <v>0</v>
      </c>
      <c r="K4" s="6">
        <f>FS!K11</f>
        <v>0</v>
      </c>
      <c r="L4" s="6">
        <f>FS!L11</f>
        <v>0</v>
      </c>
      <c r="M4" s="6">
        <f>FS!M11</f>
        <v>0</v>
      </c>
      <c r="N4" s="6">
        <f>FS!N11</f>
        <v>0</v>
      </c>
      <c r="O4" s="6">
        <f>FS!O11</f>
        <v>0</v>
      </c>
      <c r="P4" s="6">
        <f>FS!P11</f>
        <v>0</v>
      </c>
      <c r="Q4" s="6">
        <f>FS!Q11</f>
        <v>0</v>
      </c>
      <c r="R4" s="6">
        <f>FS!R11</f>
        <v>0</v>
      </c>
    </row>
    <row r="5" spans="2:18" x14ac:dyDescent="0.25">
      <c r="B5" s="1" t="s">
        <v>449</v>
      </c>
      <c r="C5" s="6">
        <f>FS!$C$12</f>
        <v>0</v>
      </c>
      <c r="D5" s="6">
        <f>FS!D12</f>
        <v>0</v>
      </c>
      <c r="E5" s="6">
        <f>FS!E12</f>
        <v>0</v>
      </c>
      <c r="F5" s="6">
        <f>FS!F12</f>
        <v>0</v>
      </c>
      <c r="G5" s="6">
        <f>FS!G12</f>
        <v>0</v>
      </c>
      <c r="H5" s="6">
        <f>FS!H12</f>
        <v>0</v>
      </c>
      <c r="I5" s="6">
        <f>FS!I12</f>
        <v>0</v>
      </c>
      <c r="J5" s="6">
        <f>FS!J12</f>
        <v>0</v>
      </c>
      <c r="K5" s="6">
        <f>FS!K12</f>
        <v>0</v>
      </c>
      <c r="L5" s="6">
        <f>FS!L12</f>
        <v>0</v>
      </c>
      <c r="M5" s="6">
        <f>FS!M12</f>
        <v>0</v>
      </c>
      <c r="N5" s="6">
        <f>FS!N12</f>
        <v>0</v>
      </c>
      <c r="O5" s="6">
        <f>FS!O12</f>
        <v>0</v>
      </c>
      <c r="P5" s="6">
        <f>FS!P12</f>
        <v>0</v>
      </c>
      <c r="Q5" s="6">
        <f>FS!Q12</f>
        <v>0</v>
      </c>
      <c r="R5" s="6">
        <f>FS!R12</f>
        <v>0</v>
      </c>
    </row>
    <row r="6" spans="2:18" x14ac:dyDescent="0.25">
      <c r="B6" s="1" t="s">
        <v>450</v>
      </c>
      <c r="C6" s="6">
        <f>FS!$C$29</f>
        <v>512984969875</v>
      </c>
      <c r="D6" s="6">
        <f>FS!D29</f>
        <v>0</v>
      </c>
      <c r="E6" s="6">
        <f>FS!E29</f>
        <v>0</v>
      </c>
      <c r="F6" s="6">
        <f>FS!F29</f>
        <v>324419667950</v>
      </c>
      <c r="G6" s="6">
        <f>FS!G29</f>
        <v>155317984937.5</v>
      </c>
      <c r="H6" s="6">
        <f>FS!H29</f>
        <v>33247316987.5</v>
      </c>
      <c r="I6" s="6">
        <f>FS!I29</f>
        <v>0</v>
      </c>
      <c r="J6" s="6">
        <f>FS!J29</f>
        <v>0</v>
      </c>
      <c r="K6" s="6">
        <f>FS!K29</f>
        <v>0</v>
      </c>
      <c r="L6" s="6">
        <f>FS!L29</f>
        <v>0</v>
      </c>
      <c r="M6" s="6">
        <f>FS!M29</f>
        <v>0</v>
      </c>
      <c r="N6" s="6">
        <f>FS!N29</f>
        <v>0</v>
      </c>
      <c r="O6" s="6">
        <f>FS!O29</f>
        <v>0</v>
      </c>
      <c r="P6" s="6">
        <f>FS!P29</f>
        <v>0</v>
      </c>
      <c r="Q6" s="6">
        <f>FS!Q29</f>
        <v>0</v>
      </c>
      <c r="R6" s="6">
        <f>FS!R29</f>
        <v>0</v>
      </c>
    </row>
    <row r="7" spans="2:18" x14ac:dyDescent="0.25">
      <c r="B7" s="2" t="s">
        <v>451</v>
      </c>
      <c r="C7" s="14">
        <f t="shared" ref="C7:R7" si="0">C4+C5+C6</f>
        <v>1994690786125</v>
      </c>
      <c r="D7" s="14">
        <f t="shared" si="0"/>
        <v>0</v>
      </c>
      <c r="E7" s="14">
        <f t="shared" si="0"/>
        <v>0</v>
      </c>
      <c r="F7" s="14">
        <f t="shared" si="0"/>
        <v>495303567950</v>
      </c>
      <c r="G7" s="14">
        <f t="shared" si="0"/>
        <v>1093755402437.5</v>
      </c>
      <c r="H7" s="14">
        <f t="shared" si="0"/>
        <v>405631815737.5</v>
      </c>
      <c r="I7" s="14">
        <f t="shared" si="0"/>
        <v>0</v>
      </c>
      <c r="J7" s="14">
        <f t="shared" si="0"/>
        <v>0</v>
      </c>
      <c r="K7" s="14">
        <f t="shared" si="0"/>
        <v>0</v>
      </c>
      <c r="L7" s="14">
        <f t="shared" si="0"/>
        <v>0</v>
      </c>
      <c r="M7" s="14">
        <f t="shared" si="0"/>
        <v>0</v>
      </c>
      <c r="N7" s="14">
        <f t="shared" si="0"/>
        <v>0</v>
      </c>
      <c r="O7" s="14">
        <f t="shared" si="0"/>
        <v>0</v>
      </c>
      <c r="P7" s="14">
        <f t="shared" si="0"/>
        <v>0</v>
      </c>
      <c r="Q7" s="14">
        <f t="shared" si="0"/>
        <v>0</v>
      </c>
      <c r="R7" s="14">
        <f t="shared" si="0"/>
        <v>0</v>
      </c>
    </row>
    <row r="8" spans="2:18" x14ac:dyDescent="0.25">
      <c r="B8" s="4" t="s">
        <v>452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</row>
    <row r="9" spans="2:18" x14ac:dyDescent="0.25">
      <c r="B9" s="1" t="s">
        <v>453</v>
      </c>
      <c r="C9" s="6">
        <f>FS!$C$142</f>
        <v>1192835671250</v>
      </c>
      <c r="D9" s="6">
        <f>FS!D87</f>
        <v>200000000000</v>
      </c>
      <c r="E9" s="6">
        <f>FS!E87</f>
        <v>215000000000</v>
      </c>
      <c r="F9" s="6">
        <f>FS!F87</f>
        <v>478456668500</v>
      </c>
      <c r="G9" s="6">
        <f>FS!G87</f>
        <v>236882835625</v>
      </c>
      <c r="H9" s="6">
        <f>FS!H87</f>
        <v>62496167125</v>
      </c>
      <c r="I9" s="6">
        <f>FS!I87</f>
        <v>0</v>
      </c>
      <c r="J9" s="6">
        <f>FS!J87</f>
        <v>0</v>
      </c>
      <c r="K9" s="6">
        <f>FS!K87</f>
        <v>0</v>
      </c>
      <c r="L9" s="6">
        <f>FS!L87</f>
        <v>0</v>
      </c>
      <c r="M9" s="6">
        <f>FS!M87</f>
        <v>0</v>
      </c>
      <c r="N9" s="6">
        <f>FS!N87</f>
        <v>0</v>
      </c>
      <c r="O9" s="6">
        <f>FS!O87</f>
        <v>0</v>
      </c>
      <c r="P9" s="6">
        <f>FS!P87</f>
        <v>0</v>
      </c>
      <c r="Q9" s="6">
        <f>FS!Q87</f>
        <v>0</v>
      </c>
      <c r="R9" s="6">
        <f>FS!R87</f>
        <v>0</v>
      </c>
    </row>
    <row r="10" spans="2:18" x14ac:dyDescent="0.25">
      <c r="B10" s="1" t="s">
        <v>454</v>
      </c>
      <c r="C10" s="6">
        <f>FS!$C$138+SUM(D25:R25)</f>
        <v>251889988762.5</v>
      </c>
      <c r="D10" s="6">
        <f>FS!D18+FS!D25</f>
        <v>0</v>
      </c>
      <c r="E10" s="6">
        <f>FS!E18+FS!E25</f>
        <v>0</v>
      </c>
      <c r="F10" s="6">
        <f>FS!F18+FS!F25</f>
        <v>96036751800</v>
      </c>
      <c r="G10" s="6">
        <f>FS!G18+FS!G25</f>
        <v>102356608035</v>
      </c>
      <c r="H10" s="6">
        <f>FS!H18+FS!H25</f>
        <v>53496628927.5</v>
      </c>
      <c r="I10" s="6">
        <f>FS!I18+FS!I25</f>
        <v>0</v>
      </c>
      <c r="J10" s="6">
        <f>FS!J18+FS!J25</f>
        <v>0</v>
      </c>
      <c r="K10" s="6">
        <f>FS!K18+FS!K25</f>
        <v>0</v>
      </c>
      <c r="L10" s="6">
        <f>FS!L18+FS!L25</f>
        <v>0</v>
      </c>
      <c r="M10" s="6">
        <f>FS!M18+FS!M25</f>
        <v>0</v>
      </c>
      <c r="N10" s="6">
        <f>FS!N18+FS!N25</f>
        <v>0</v>
      </c>
      <c r="O10" s="6">
        <f>FS!O18+FS!O25</f>
        <v>0</v>
      </c>
      <c r="P10" s="6">
        <f>FS!P18+FS!P25</f>
        <v>0</v>
      </c>
      <c r="Q10" s="6">
        <f>FS!Q18+FS!Q25</f>
        <v>0</v>
      </c>
      <c r="R10" s="6">
        <f>FS!R18+FS!R25</f>
        <v>0</v>
      </c>
    </row>
    <row r="11" spans="2:18" x14ac:dyDescent="0.25">
      <c r="B11" s="1" t="s">
        <v>455</v>
      </c>
      <c r="C11" s="6">
        <f>FS!$C$140</f>
        <v>45180014203.409096</v>
      </c>
      <c r="D11" s="6">
        <f>FS!D19</f>
        <v>0</v>
      </c>
      <c r="E11" s="6">
        <f>FS!E19</f>
        <v>0</v>
      </c>
      <c r="F11" s="6">
        <f>FS!F19</f>
        <v>0</v>
      </c>
      <c r="G11" s="6">
        <f>FS!G19</f>
        <v>27112541252.75174</v>
      </c>
      <c r="H11" s="6">
        <f>FS!H19</f>
        <v>18067472950.657349</v>
      </c>
      <c r="I11" s="6">
        <f>FS!I19</f>
        <v>0</v>
      </c>
      <c r="J11" s="6">
        <f>FS!J19</f>
        <v>0</v>
      </c>
      <c r="K11" s="6">
        <f>FS!K19</f>
        <v>0</v>
      </c>
      <c r="L11" s="6">
        <f>FS!L19</f>
        <v>0</v>
      </c>
      <c r="M11" s="6">
        <f>FS!M19</f>
        <v>0</v>
      </c>
      <c r="N11" s="6">
        <f>FS!N19</f>
        <v>0</v>
      </c>
      <c r="O11" s="6">
        <f>FS!O19</f>
        <v>0</v>
      </c>
      <c r="P11" s="6">
        <f>FS!P19</f>
        <v>0</v>
      </c>
      <c r="Q11" s="6">
        <f>FS!Q19</f>
        <v>0</v>
      </c>
      <c r="R11" s="6">
        <f>FS!R19</f>
        <v>0</v>
      </c>
    </row>
    <row r="12" spans="2:18" x14ac:dyDescent="0.25">
      <c r="B12" s="1" t="s">
        <v>456</v>
      </c>
      <c r="C12" s="6">
        <f>FS!$C$155</f>
        <v>3222241103.5181761</v>
      </c>
      <c r="D12" s="6">
        <f>FS!D26</f>
        <v>0</v>
      </c>
      <c r="E12" s="6">
        <f>FS!E26</f>
        <v>0</v>
      </c>
      <c r="F12" s="6">
        <f>FS!F26</f>
        <v>1708839000</v>
      </c>
      <c r="G12" s="6">
        <f>FS!G26</f>
        <v>9384374175</v>
      </c>
      <c r="H12" s="6">
        <f>FS!H26</f>
        <v>-7870972071.4818239</v>
      </c>
      <c r="I12" s="6">
        <f>FS!I26</f>
        <v>0</v>
      </c>
      <c r="J12" s="6">
        <f>FS!J26</f>
        <v>0</v>
      </c>
      <c r="K12" s="6">
        <f>FS!K26</f>
        <v>0</v>
      </c>
      <c r="L12" s="6">
        <f>FS!L26</f>
        <v>0</v>
      </c>
      <c r="M12" s="6">
        <f>FS!M26</f>
        <v>0</v>
      </c>
      <c r="N12" s="6">
        <f>FS!N26</f>
        <v>0</v>
      </c>
      <c r="O12" s="6">
        <f>FS!O26</f>
        <v>0</v>
      </c>
      <c r="P12" s="6">
        <f>FS!P26</f>
        <v>0</v>
      </c>
      <c r="Q12" s="6">
        <f>FS!Q26</f>
        <v>0</v>
      </c>
      <c r="R12" s="6">
        <f>FS!R26</f>
        <v>0</v>
      </c>
    </row>
    <row r="13" spans="2:18" x14ac:dyDescent="0.25">
      <c r="B13" s="1" t="s">
        <v>457</v>
      </c>
      <c r="C13" s="6">
        <f>FS!$C$30</f>
        <v>512984969875</v>
      </c>
      <c r="D13" s="6">
        <f>FS!D30</f>
        <v>0</v>
      </c>
      <c r="E13" s="6">
        <f>FS!E30</f>
        <v>0</v>
      </c>
      <c r="F13" s="6">
        <f>FS!F30</f>
        <v>0</v>
      </c>
      <c r="G13" s="6">
        <f>FS!G30</f>
        <v>479737652887.5</v>
      </c>
      <c r="H13" s="6">
        <f>FS!H30</f>
        <v>33247316987.5</v>
      </c>
      <c r="I13" s="6">
        <f>FS!I30</f>
        <v>0</v>
      </c>
      <c r="J13" s="6">
        <f>FS!J30</f>
        <v>0</v>
      </c>
      <c r="K13" s="6">
        <f>FS!K30</f>
        <v>0</v>
      </c>
      <c r="L13" s="6">
        <f>FS!L30</f>
        <v>0</v>
      </c>
      <c r="M13" s="6">
        <f>FS!M30</f>
        <v>0</v>
      </c>
      <c r="N13" s="6">
        <f>FS!N30</f>
        <v>0</v>
      </c>
      <c r="O13" s="6">
        <f>FS!O30</f>
        <v>0</v>
      </c>
      <c r="P13" s="6">
        <f>FS!P30</f>
        <v>0</v>
      </c>
      <c r="Q13" s="6">
        <f>FS!Q30</f>
        <v>0</v>
      </c>
      <c r="R13" s="6">
        <f>FS!R30</f>
        <v>0</v>
      </c>
    </row>
    <row r="14" spans="2:18" x14ac:dyDescent="0.25">
      <c r="B14" s="1" t="s">
        <v>458</v>
      </c>
      <c r="C14" s="6">
        <f>FS!$C$144</f>
        <v>38930360154</v>
      </c>
      <c r="D14" s="6">
        <f>FS!D28</f>
        <v>0</v>
      </c>
      <c r="E14" s="6">
        <f>FS!E28</f>
        <v>0</v>
      </c>
      <c r="F14" s="6">
        <f>FS!F28</f>
        <v>0</v>
      </c>
      <c r="G14" s="6">
        <f>FS!G28</f>
        <v>38930360154</v>
      </c>
      <c r="H14" s="6">
        <f>FS!H28</f>
        <v>0</v>
      </c>
      <c r="I14" s="6">
        <f>FS!I28</f>
        <v>0</v>
      </c>
      <c r="J14" s="6">
        <f>FS!J28</f>
        <v>0</v>
      </c>
      <c r="K14" s="6">
        <f>FS!K28</f>
        <v>0</v>
      </c>
      <c r="L14" s="6">
        <f>FS!L28</f>
        <v>0</v>
      </c>
      <c r="M14" s="6">
        <f>FS!M28</f>
        <v>0</v>
      </c>
      <c r="N14" s="6">
        <f>FS!N28</f>
        <v>0</v>
      </c>
      <c r="O14" s="6">
        <f>FS!O28</f>
        <v>0</v>
      </c>
      <c r="P14" s="6">
        <f>FS!P28</f>
        <v>0</v>
      </c>
      <c r="Q14" s="6">
        <f>FS!Q28</f>
        <v>0</v>
      </c>
      <c r="R14" s="6">
        <f>FS!R28</f>
        <v>0</v>
      </c>
    </row>
    <row r="15" spans="2:18" x14ac:dyDescent="0.25">
      <c r="B15" s="2" t="s">
        <v>459</v>
      </c>
      <c r="C15" s="14">
        <f t="shared" ref="C15:R15" si="1">C9+C10+C11+C12+C13+C14</f>
        <v>2045043245348.4272</v>
      </c>
      <c r="D15" s="14">
        <f t="shared" si="1"/>
        <v>200000000000</v>
      </c>
      <c r="E15" s="14">
        <f t="shared" si="1"/>
        <v>215000000000</v>
      </c>
      <c r="F15" s="14">
        <f t="shared" si="1"/>
        <v>576202259300</v>
      </c>
      <c r="G15" s="14">
        <f t="shared" si="1"/>
        <v>894404372129.25171</v>
      </c>
      <c r="H15" s="14">
        <f t="shared" si="1"/>
        <v>159436613919.17554</v>
      </c>
      <c r="I15" s="14">
        <f t="shared" si="1"/>
        <v>0</v>
      </c>
      <c r="J15" s="14">
        <f t="shared" si="1"/>
        <v>0</v>
      </c>
      <c r="K15" s="14">
        <f t="shared" si="1"/>
        <v>0</v>
      </c>
      <c r="L15" s="14">
        <f t="shared" si="1"/>
        <v>0</v>
      </c>
      <c r="M15" s="14">
        <f t="shared" si="1"/>
        <v>0</v>
      </c>
      <c r="N15" s="14">
        <f t="shared" si="1"/>
        <v>0</v>
      </c>
      <c r="O15" s="14">
        <f t="shared" si="1"/>
        <v>0</v>
      </c>
      <c r="P15" s="14">
        <f t="shared" si="1"/>
        <v>0</v>
      </c>
      <c r="Q15" s="14">
        <f t="shared" si="1"/>
        <v>0</v>
      </c>
      <c r="R15" s="14">
        <f t="shared" si="1"/>
        <v>0</v>
      </c>
    </row>
    <row r="16" spans="2:18" x14ac:dyDescent="0.25">
      <c r="B16" s="4" t="s">
        <v>460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</row>
    <row r="17" spans="2:19" x14ac:dyDescent="0.25">
      <c r="B17" s="2" t="s">
        <v>461</v>
      </c>
      <c r="C17" s="14">
        <f t="shared" ref="C17:R17" si="2">C7-C15</f>
        <v>-50352459223.427246</v>
      </c>
      <c r="D17" s="14">
        <f t="shared" si="2"/>
        <v>-200000000000</v>
      </c>
      <c r="E17" s="14">
        <f t="shared" si="2"/>
        <v>-215000000000</v>
      </c>
      <c r="F17" s="14">
        <f t="shared" si="2"/>
        <v>-80898691350</v>
      </c>
      <c r="G17" s="14">
        <f t="shared" si="2"/>
        <v>199351030308.24829</v>
      </c>
      <c r="H17" s="14">
        <f t="shared" si="2"/>
        <v>246195201818.32446</v>
      </c>
      <c r="I17" s="14">
        <f t="shared" si="2"/>
        <v>0</v>
      </c>
      <c r="J17" s="14">
        <f t="shared" si="2"/>
        <v>0</v>
      </c>
      <c r="K17" s="14">
        <f t="shared" si="2"/>
        <v>0</v>
      </c>
      <c r="L17" s="14">
        <f t="shared" si="2"/>
        <v>0</v>
      </c>
      <c r="M17" s="14">
        <f t="shared" si="2"/>
        <v>0</v>
      </c>
      <c r="N17" s="14">
        <f t="shared" si="2"/>
        <v>0</v>
      </c>
      <c r="O17" s="14">
        <f t="shared" si="2"/>
        <v>0</v>
      </c>
      <c r="P17" s="14">
        <f t="shared" si="2"/>
        <v>0</v>
      </c>
      <c r="Q17" s="14">
        <f t="shared" si="2"/>
        <v>0</v>
      </c>
      <c r="R17" s="14">
        <f t="shared" si="2"/>
        <v>0</v>
      </c>
    </row>
    <row r="18" spans="2:19" x14ac:dyDescent="0.25">
      <c r="B18" s="1" t="s">
        <v>462</v>
      </c>
      <c r="C18" s="6">
        <f>SUM(FS!D93:BK93)</f>
        <v>593117284869.90906</v>
      </c>
      <c r="D18" s="6">
        <f>FS!D93</f>
        <v>200000000000</v>
      </c>
      <c r="E18" s="6">
        <f>FS!E93</f>
        <v>215000000000</v>
      </c>
      <c r="F18" s="6">
        <f>FS!F93</f>
        <v>80898691350</v>
      </c>
      <c r="G18" s="6">
        <f>FS!G93</f>
        <v>75427275581.75174</v>
      </c>
      <c r="H18" s="6">
        <f>FS!H93</f>
        <v>21791317938.157349</v>
      </c>
      <c r="I18" s="6">
        <f>FS!I93</f>
        <v>0</v>
      </c>
      <c r="J18" s="6">
        <f>FS!J93</f>
        <v>0</v>
      </c>
      <c r="K18" s="6">
        <f>FS!K93</f>
        <v>0</v>
      </c>
      <c r="L18" s="6">
        <f>FS!L93</f>
        <v>0</v>
      </c>
      <c r="M18" s="6">
        <f>FS!M93</f>
        <v>0</v>
      </c>
      <c r="N18" s="6">
        <f>FS!N93</f>
        <v>0</v>
      </c>
      <c r="O18" s="6">
        <f>FS!O93</f>
        <v>0</v>
      </c>
      <c r="P18" s="6">
        <f>FS!P93</f>
        <v>0</v>
      </c>
      <c r="Q18" s="6">
        <f>FS!Q93</f>
        <v>0</v>
      </c>
      <c r="R18" s="6">
        <f>FS!R93</f>
        <v>0</v>
      </c>
    </row>
    <row r="19" spans="2:19" x14ac:dyDescent="0.25">
      <c r="B19" s="1" t="s">
        <v>463</v>
      </c>
      <c r="C19" s="6" t="s">
        <v>1</v>
      </c>
      <c r="D19" s="6">
        <f>FS!D31</f>
        <v>0</v>
      </c>
      <c r="E19" s="6">
        <f>FS!E31</f>
        <v>0</v>
      </c>
      <c r="F19" s="6">
        <f>FS!F31</f>
        <v>324419667950</v>
      </c>
      <c r="G19" s="6">
        <f>FS!G31</f>
        <v>0</v>
      </c>
      <c r="H19" s="6">
        <f>FS!H31</f>
        <v>0</v>
      </c>
      <c r="I19" s="6">
        <f>FS!I31</f>
        <v>0</v>
      </c>
      <c r="J19" s="6">
        <f>FS!J31</f>
        <v>0</v>
      </c>
      <c r="K19" s="6">
        <f>FS!K31</f>
        <v>0</v>
      </c>
      <c r="L19" s="6">
        <f>FS!L31</f>
        <v>0</v>
      </c>
      <c r="M19" s="6">
        <f>FS!M31</f>
        <v>0</v>
      </c>
      <c r="N19" s="6">
        <f>FS!N31</f>
        <v>0</v>
      </c>
      <c r="O19" s="6">
        <f>FS!O31</f>
        <v>0</v>
      </c>
      <c r="P19" s="6">
        <f>FS!P31</f>
        <v>0</v>
      </c>
      <c r="Q19" s="6">
        <f>FS!Q31</f>
        <v>0</v>
      </c>
      <c r="R19" s="6">
        <f>FS!R31</f>
        <v>0</v>
      </c>
    </row>
    <row r="21" spans="2:19" x14ac:dyDescent="0.25">
      <c r="B21" s="4" t="s">
        <v>464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</row>
    <row r="22" spans="2:19" x14ac:dyDescent="0.25">
      <c r="B22" s="1" t="s">
        <v>465</v>
      </c>
      <c r="C22" s="6">
        <f>(((FS!$C$142+FS!$C$144)-FS!$C$29-(MIN(30/100*(FS!$C$142+FS!$C$144),MAX(FS!$C$136-(FS!$C$138+FS!$C$140)-FS!$C$155,0))))+((FS!$C$138+FS!$C$140)-(MIN((FS!$C$138+FS!$C$140),FS!$C$136)))+(FS!$C$155-(MIN(FS!$C$155,MAX(FS!$C$136-(FS!$C$138+FS!$C$140),0)))))</f>
        <v>349251252107.79999</v>
      </c>
    </row>
    <row r="23" spans="2:19" x14ac:dyDescent="0.25">
      <c r="B23" s="1" t="s">
        <v>466</v>
      </c>
      <c r="C23" s="6">
        <f>FS!$C$29</f>
        <v>512984969875</v>
      </c>
    </row>
    <row r="24" spans="2:19" x14ac:dyDescent="0.25">
      <c r="B24" s="1" t="s">
        <v>467</v>
      </c>
      <c r="C24" s="6">
        <f>((MIN((FS!$C$138+FS!$C$140),FS!$C$136))+(MIN(FS!$C$155,MAX(FS!$C$136-(FS!$C$138+FS!$C$140),0)))+(MIN(30/100*(FS!$C$142+FS!$C$144),MAX(FS!$C$136-(FS!$C$138+FS!$C$140)-FS!$C$155,0))))</f>
        <v>669822053490.62732</v>
      </c>
    </row>
    <row r="25" spans="2:19" x14ac:dyDescent="0.25">
      <c r="B25" s="2" t="s">
        <v>468</v>
      </c>
      <c r="C25" s="14">
        <f>C22+C23+C24</f>
        <v>1532058275473.4272</v>
      </c>
    </row>
    <row r="26" spans="2:19" x14ac:dyDescent="0.25">
      <c r="B26" s="1" t="s">
        <v>469</v>
      </c>
      <c r="C26" s="8">
        <f>IF(C25&gt;0,C22/C25,0)</f>
        <v>0.22796211978286304</v>
      </c>
    </row>
    <row r="27" spans="2:19" x14ac:dyDescent="0.25">
      <c r="B27" s="1" t="s">
        <v>470</v>
      </c>
      <c r="C27" s="8">
        <f>IF(C25&gt;0,C23/C25,0)</f>
        <v>0.33483384939550065</v>
      </c>
    </row>
    <row r="28" spans="2:19" x14ac:dyDescent="0.25">
      <c r="B28" s="1" t="s">
        <v>471</v>
      </c>
      <c r="C28" s="8">
        <f>IF(C25&gt;0,C24/C25,0)</f>
        <v>0.43720403082163634</v>
      </c>
    </row>
    <row r="29" spans="2:19" x14ac:dyDescent="0.25">
      <c r="B29" s="1" t="s">
        <v>472</v>
      </c>
      <c r="C29" s="8">
        <f>IF((C22+C23)&gt;0,(C22*INPUT!$C$4+C23*INPUT!$C$5)/(C22+C23)/100,0)</f>
        <v>0.11999999999999998</v>
      </c>
    </row>
    <row r="30" spans="2:19" x14ac:dyDescent="0.25">
      <c r="B30" s="1" t="s">
        <v>473</v>
      </c>
      <c r="C30" s="8">
        <v>0.3</v>
      </c>
    </row>
    <row r="31" spans="2:19" ht="22.5" x14ac:dyDescent="0.25">
      <c r="B31" s="22" t="s">
        <v>474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</sheetData>
  <mergeCells count="2">
    <mergeCell ref="B1:R1"/>
    <mergeCell ref="B31:S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A227"/>
  </sheetPr>
  <dimension ref="B1:F1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2" customWidth="1"/>
    <col min="2" max="2" width="44" customWidth="1"/>
    <col min="3" max="3" width="26" customWidth="1"/>
    <col min="4" max="6" width="16" customWidth="1"/>
  </cols>
  <sheetData>
    <row r="1" spans="2:6" ht="26.1" customHeight="1" x14ac:dyDescent="0.25">
      <c r="B1" s="22" t="s">
        <v>475</v>
      </c>
      <c r="C1" s="21"/>
      <c r="D1" s="21"/>
      <c r="E1" s="21"/>
      <c r="F1" s="21"/>
    </row>
    <row r="3" spans="2:6" ht="18" customHeight="1" x14ac:dyDescent="0.25">
      <c r="B3" s="3" t="s">
        <v>476</v>
      </c>
      <c r="C3" s="3" t="s">
        <v>477</v>
      </c>
      <c r="D3" s="3" t="s">
        <v>446</v>
      </c>
      <c r="E3" s="3" t="s">
        <v>194</v>
      </c>
      <c r="F3" s="3" t="s">
        <v>196</v>
      </c>
    </row>
    <row r="4" spans="2:6" x14ac:dyDescent="0.25">
      <c r="B4" s="1" t="s">
        <v>478</v>
      </c>
      <c r="C4" s="1" t="s">
        <v>479</v>
      </c>
      <c r="D4" s="6">
        <f>(FS!$C$124+FS!$C$125)</f>
        <v>400000000000</v>
      </c>
      <c r="E4" s="6">
        <f>(FS!$C$124+FS!$C$125)*(1-FS!$C$106)</f>
        <v>400000000000</v>
      </c>
      <c r="F4" s="6">
        <f>(FS!$C$124+FS!$C$125)*FS!$C$106</f>
        <v>0</v>
      </c>
    </row>
    <row r="5" spans="2:6" x14ac:dyDescent="0.25">
      <c r="B5" s="1" t="s">
        <v>134</v>
      </c>
      <c r="C5" s="1" t="s">
        <v>479</v>
      </c>
      <c r="D5" s="6">
        <f>FS!$C$126</f>
        <v>289070000000</v>
      </c>
      <c r="E5" s="6">
        <f>FS!$C$126*(1-FS!$C$106)</f>
        <v>289070000000</v>
      </c>
      <c r="F5" s="6">
        <f>FS!$C$126*FS!$C$106</f>
        <v>0</v>
      </c>
    </row>
    <row r="6" spans="2:6" x14ac:dyDescent="0.25">
      <c r="B6" s="1" t="s">
        <v>261</v>
      </c>
      <c r="C6" s="1" t="s">
        <v>479</v>
      </c>
      <c r="D6" s="6">
        <f>FS!$C$127</f>
        <v>60000000000</v>
      </c>
      <c r="E6" s="6">
        <f>FS!$C$127*(1-FS!$C$106)</f>
        <v>60000000000</v>
      </c>
      <c r="F6" s="6">
        <f>FS!$C$127*FS!$C$106</f>
        <v>0</v>
      </c>
    </row>
    <row r="7" spans="2:6" x14ac:dyDescent="0.25">
      <c r="B7" s="1" t="s">
        <v>480</v>
      </c>
      <c r="C7" s="1" t="s">
        <v>479</v>
      </c>
      <c r="D7" s="6">
        <f>FS!$C$128</f>
        <v>7799000000.000001</v>
      </c>
      <c r="E7" s="6">
        <f>FS!$C$128*(1-FS!$C$106)</f>
        <v>7799000000.000001</v>
      </c>
      <c r="F7" s="6">
        <f>FS!$C$128*FS!$C$106</f>
        <v>0</v>
      </c>
    </row>
    <row r="8" spans="2:6" x14ac:dyDescent="0.25">
      <c r="B8" s="1" t="s">
        <v>481</v>
      </c>
      <c r="C8" s="1" t="s">
        <v>482</v>
      </c>
      <c r="D8" s="6">
        <f>FS!$C$129+FS!$C$130</f>
        <v>373899375000</v>
      </c>
      <c r="E8" s="6">
        <f>FS!$C$129</f>
        <v>373899375000</v>
      </c>
      <c r="F8" s="6">
        <f>FS!$C$130</f>
        <v>0</v>
      </c>
    </row>
    <row r="9" spans="2:6" x14ac:dyDescent="0.25">
      <c r="B9" s="1" t="s">
        <v>483</v>
      </c>
      <c r="C9" s="1" t="s">
        <v>484</v>
      </c>
      <c r="D9" s="6">
        <f>FS!$C$131</f>
        <v>22433962499.999996</v>
      </c>
      <c r="E9" s="6">
        <f>FS!$C$131*(1-FS!$C$105)</f>
        <v>22433962499.999996</v>
      </c>
      <c r="F9" s="6">
        <f>FS!$C$131*FS!$C$105</f>
        <v>0</v>
      </c>
    </row>
    <row r="10" spans="2:6" x14ac:dyDescent="0.25">
      <c r="B10" s="1" t="s">
        <v>485</v>
      </c>
      <c r="C10" s="1" t="s">
        <v>484</v>
      </c>
      <c r="D10" s="6">
        <f>FS!$C$132</f>
        <v>39633333750</v>
      </c>
      <c r="E10" s="6">
        <f>FS!$C$132*(1-FS!$C$105)</f>
        <v>39633333750</v>
      </c>
      <c r="F10" s="6">
        <f>FS!$C$132*FS!$C$105</f>
        <v>0</v>
      </c>
    </row>
    <row r="11" spans="2:6" x14ac:dyDescent="0.25">
      <c r="B11" s="1" t="s">
        <v>486</v>
      </c>
      <c r="C11" s="1" t="s">
        <v>487</v>
      </c>
      <c r="D11" s="6">
        <f>FS!$C$144</f>
        <v>38930360154</v>
      </c>
      <c r="E11" s="6">
        <f>FS!$C$144*(1-FS!$C$143)</f>
        <v>38930360154</v>
      </c>
      <c r="F11" s="6">
        <f>FS!$C$144*FS!$C$143</f>
        <v>0</v>
      </c>
    </row>
    <row r="12" spans="2:6" x14ac:dyDescent="0.25">
      <c r="B12" s="2" t="s">
        <v>56</v>
      </c>
      <c r="C12" s="2" t="s">
        <v>1</v>
      </c>
      <c r="D12" s="14">
        <f>SUM(D4:D11)</f>
        <v>1231766031404</v>
      </c>
      <c r="E12" s="14">
        <f>SUM(E4:E11)</f>
        <v>1231766031404</v>
      </c>
      <c r="F12" s="14">
        <f>SUM(F4:F11)</f>
        <v>0</v>
      </c>
    </row>
    <row r="14" spans="2:6" x14ac:dyDescent="0.25">
      <c r="B14" s="1" t="s">
        <v>488</v>
      </c>
      <c r="C14" s="8">
        <f>FS!$C$106</f>
        <v>0</v>
      </c>
    </row>
    <row r="15" spans="2:6" x14ac:dyDescent="0.25">
      <c r="B15" s="1" t="s">
        <v>489</v>
      </c>
      <c r="C15" s="8">
        <f>FS!$C$105</f>
        <v>0</v>
      </c>
    </row>
    <row r="16" spans="2:6" x14ac:dyDescent="0.25">
      <c r="B16" s="1" t="s">
        <v>490</v>
      </c>
      <c r="C16" s="8">
        <f>FS!$C$143</f>
        <v>0</v>
      </c>
    </row>
    <row r="17" spans="2:6" ht="22.5" x14ac:dyDescent="0.25">
      <c r="B17" s="22" t="s">
        <v>491</v>
      </c>
      <c r="C17" s="21"/>
      <c r="D17" s="21"/>
      <c r="E17" s="21"/>
      <c r="F17" s="21"/>
    </row>
  </sheetData>
  <mergeCells count="2">
    <mergeCell ref="B1:F1"/>
    <mergeCell ref="B17:F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F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2" customWidth="1"/>
    <col min="2" max="2" width="44" customWidth="1"/>
    <col min="3" max="6" width="16" customWidth="1"/>
  </cols>
  <sheetData>
    <row r="1" spans="1:6" ht="30" customHeight="1" x14ac:dyDescent="0.25">
      <c r="A1" s="18" t="s">
        <v>492</v>
      </c>
      <c r="B1" s="21"/>
      <c r="C1" s="21"/>
      <c r="D1" s="21"/>
      <c r="E1" s="21"/>
      <c r="F1" s="21"/>
    </row>
    <row r="3" spans="1:6" x14ac:dyDescent="0.25">
      <c r="B3" s="3" t="s">
        <v>493</v>
      </c>
      <c r="C3" s="3" t="s">
        <v>160</v>
      </c>
      <c r="D3" s="3" t="s">
        <v>494</v>
      </c>
      <c r="E3" s="3" t="s">
        <v>495</v>
      </c>
      <c r="F3" s="3" t="s">
        <v>496</v>
      </c>
    </row>
    <row r="5" spans="1:6" x14ac:dyDescent="0.25">
      <c r="B5" s="1" t="s">
        <v>161</v>
      </c>
      <c r="C5" s="6">
        <f>INPUT!C41</f>
        <v>25</v>
      </c>
      <c r="D5" s="6">
        <f>INPUT!D41</f>
        <v>0</v>
      </c>
      <c r="E5" s="6">
        <f>INPUT!E41</f>
        <v>0</v>
      </c>
      <c r="F5" s="6">
        <f>INPUT!F41</f>
        <v>0</v>
      </c>
    </row>
    <row r="6" spans="1:6" x14ac:dyDescent="0.25">
      <c r="B6" s="1" t="s">
        <v>163</v>
      </c>
      <c r="C6" s="6">
        <f>INPUT!C42</f>
        <v>0</v>
      </c>
      <c r="D6" s="6">
        <f>INPUT!D42</f>
        <v>0</v>
      </c>
      <c r="E6" s="6">
        <f>INPUT!E42</f>
        <v>0</v>
      </c>
      <c r="F6" s="6">
        <f>INPUT!F42</f>
        <v>0</v>
      </c>
    </row>
    <row r="7" spans="1:6" x14ac:dyDescent="0.25">
      <c r="B7" s="1" t="s">
        <v>497</v>
      </c>
      <c r="C7" s="6">
        <f>INPUT!C43+INPUT!C44</f>
        <v>27696.25</v>
      </c>
      <c r="D7" s="6">
        <f>INPUT!D43+INPUT!D44</f>
        <v>0</v>
      </c>
      <c r="E7" s="6">
        <f>INPUT!E43+INPUT!E44</f>
        <v>0</v>
      </c>
      <c r="F7" s="6">
        <f>INPUT!F43+INPUT!F44</f>
        <v>0</v>
      </c>
    </row>
    <row r="8" spans="1:6" x14ac:dyDescent="0.25">
      <c r="B8" s="1" t="s">
        <v>498</v>
      </c>
      <c r="C8" s="6">
        <f>IFERROR(MATCH(INPUT!C41,'QD425'!$A$3:$A$13,1),1)+IF(INPUT!C49=2,14,0)</f>
        <v>7</v>
      </c>
      <c r="D8" s="6">
        <f>IFERROR(MATCH(INPUT!D41,'QD425'!$A$3:$A$13,1),1)+IF(INPUT!D49=2,14,0)</f>
        <v>1</v>
      </c>
      <c r="E8" s="6">
        <f>IFERROR(MATCH(INPUT!E41,'QD425'!$A$3:$A$13,1),1)+IF(INPUT!E49=2,14,0)</f>
        <v>1</v>
      </c>
      <c r="F8" s="6">
        <f>IFERROR(MATCH(INPUT!F41,'QD425'!$A$3:$A$13,1),1)+IF(INPUT!F49=2,14,0)</f>
        <v>1</v>
      </c>
    </row>
    <row r="9" spans="1:6" x14ac:dyDescent="0.25">
      <c r="B9" s="1" t="s">
        <v>499</v>
      </c>
      <c r="C9" s="6">
        <f>MIN(INPUT!C42,5)+1</f>
        <v>1</v>
      </c>
      <c r="D9" s="6">
        <f>MIN(INPUT!D42,5)+1</f>
        <v>1</v>
      </c>
      <c r="E9" s="6">
        <f>MIN(INPUT!E42,5)+1</f>
        <v>1</v>
      </c>
      <c r="F9" s="6">
        <f>MIN(INPUT!F42,5)+1</f>
        <v>1</v>
      </c>
    </row>
    <row r="10" spans="1:6" x14ac:dyDescent="0.25">
      <c r="B10" s="1" t="s">
        <v>500</v>
      </c>
      <c r="C10" s="6">
        <f>IFERROR(INDEX('QD425'!$B$3:$G$31,C8,C9),0)</f>
        <v>14508</v>
      </c>
      <c r="D10" s="6">
        <f>IFERROR(INDEX('QD425'!$B$3:$G$31,D8,D9),0)</f>
        <v>9202</v>
      </c>
      <c r="E10" s="6">
        <f>IFERROR(INDEX('QD425'!$B$3:$G$31,E8,E9),0)</f>
        <v>9202</v>
      </c>
      <c r="F10" s="6">
        <f>IFERROR(INDEX('QD425'!$B$3:$G$31,F8,F9),0)</f>
        <v>9202</v>
      </c>
    </row>
    <row r="11" spans="1:6" x14ac:dyDescent="0.25">
      <c r="B11" s="1" t="s">
        <v>501</v>
      </c>
      <c r="C11" s="6">
        <f>IFERROR(INDEX('QD425'!$H$3:$M$31,C8,C9),0)</f>
        <v>11144</v>
      </c>
      <c r="D11" s="6">
        <f>IFERROR(INDEX('QD425'!$H$3:$M$31,D8,D9),0)</f>
        <v>7784</v>
      </c>
      <c r="E11" s="6">
        <f>IFERROR(INDEX('QD425'!$H$3:$M$31,E8,E9),0)</f>
        <v>7784</v>
      </c>
      <c r="F11" s="6">
        <f>IFERROR(INDEX('QD425'!$H$3:$M$31,F8,F9),0)</f>
        <v>7784</v>
      </c>
    </row>
    <row r="12" spans="1:6" x14ac:dyDescent="0.25">
      <c r="B12" s="1" t="s">
        <v>502</v>
      </c>
      <c r="C12" s="6">
        <f>IFERROR(INDEX('QD425'!$N$3:$S$31,C8,C9),0)</f>
        <v>1436</v>
      </c>
      <c r="D12" s="6">
        <f>IFERROR(INDEX('QD425'!$N$3:$S$31,D8,D9),0)</f>
        <v>432</v>
      </c>
      <c r="E12" s="6">
        <f>IFERROR(INDEX('QD425'!$N$3:$S$31,E8,E9),0)</f>
        <v>432</v>
      </c>
      <c r="F12" s="6">
        <f>IFERROR(INDEX('QD425'!$N$3:$S$31,F8,F9),0)</f>
        <v>432</v>
      </c>
    </row>
    <row r="13" spans="1:6" x14ac:dyDescent="0.25">
      <c r="B13" s="1" t="s">
        <v>503</v>
      </c>
      <c r="C13" s="6">
        <f>C10-C11-C12</f>
        <v>1928</v>
      </c>
      <c r="D13" s="6">
        <f>D10-D11-D12</f>
        <v>986</v>
      </c>
      <c r="E13" s="6">
        <f>E10-E11-E12</f>
        <v>986</v>
      </c>
      <c r="F13" s="6">
        <f>F10-F11-F12</f>
        <v>986</v>
      </c>
    </row>
    <row r="14" spans="1:6" x14ac:dyDescent="0.25">
      <c r="B14" s="1" t="s">
        <v>504</v>
      </c>
      <c r="C14" s="6">
        <f>C10*INPUT!$C$55*INPUT!$C$56</f>
        <v>14508</v>
      </c>
      <c r="D14" s="6">
        <f>D10*INPUT!$C$55*INPUT!$C$56</f>
        <v>9202</v>
      </c>
      <c r="E14" s="6">
        <f>E10*INPUT!$C$55*INPUT!$C$56</f>
        <v>9202</v>
      </c>
      <c r="F14" s="6">
        <f>F10*INPUT!$C$55*INPUT!$C$56</f>
        <v>9202</v>
      </c>
    </row>
    <row r="15" spans="1:6" x14ac:dyDescent="0.25">
      <c r="B15" s="1" t="s">
        <v>505</v>
      </c>
      <c r="C15" s="6">
        <f>IF(INPUT!$C$36&gt;=1,C7*C14*1000,0)</f>
        <v>401817195000</v>
      </c>
      <c r="D15" s="6">
        <f>IF(INPUT!$C$36&gt;=2,D7*D14*1000,0)</f>
        <v>0</v>
      </c>
      <c r="E15" s="6">
        <f>IF(INPUT!$C$36&gt;=3,E7*E14*1000,0)</f>
        <v>0</v>
      </c>
      <c r="F15" s="6">
        <f>IF(INPUT!$C$36&gt;=4,F7*F14*1000,0)</f>
        <v>0</v>
      </c>
    </row>
    <row r="16" spans="1:6" x14ac:dyDescent="0.25">
      <c r="B16" s="1" t="s">
        <v>506</v>
      </c>
      <c r="C16" s="6">
        <f>IF(INPUT!$C$36&gt;=1,C7*C11*INPUT!$C$55*INPUT!$C$56*1000,0)</f>
        <v>308647010000</v>
      </c>
      <c r="D16" s="6">
        <f>IF(INPUT!$C$36&gt;=2,D7*D11*INPUT!$C$55*INPUT!$C$56*1000,0)</f>
        <v>0</v>
      </c>
      <c r="E16" s="6">
        <f>IF(INPUT!$C$36&gt;=3,E7*E11*INPUT!$C$55*INPUT!$C$56*1000,0)</f>
        <v>0</v>
      </c>
      <c r="F16" s="6">
        <f>IF(INPUT!$C$36&gt;=4,F7*F11*INPUT!$C$55*INPUT!$C$56*1000,0)</f>
        <v>0</v>
      </c>
    </row>
    <row r="17" spans="2:6" x14ac:dyDescent="0.25">
      <c r="B17" s="1" t="s">
        <v>507</v>
      </c>
      <c r="C17" s="6">
        <f>IF(INPUT!$C$36&gt;=1,C7*C12*INPUT!$C$55*INPUT!$C$56*1000,0)</f>
        <v>39771815000</v>
      </c>
      <c r="D17" s="6">
        <f>IF(INPUT!$C$36&gt;=2,D7*D12*INPUT!$C$55*INPUT!$C$56*1000,0)</f>
        <v>0</v>
      </c>
      <c r="E17" s="6">
        <f>IF(INPUT!$C$36&gt;=3,E7*E12*INPUT!$C$55*INPUT!$C$56*1000,0)</f>
        <v>0</v>
      </c>
      <c r="F17" s="6">
        <f>IF(INPUT!$C$36&gt;=4,F7*F12*INPUT!$C$55*INPUT!$C$56*1000,0)</f>
        <v>0</v>
      </c>
    </row>
    <row r="19" spans="2:6" x14ac:dyDescent="0.25">
      <c r="B19" s="2" t="s">
        <v>508</v>
      </c>
      <c r="C19" s="7">
        <f>SUM(C15:F15)</f>
        <v>401817195000</v>
      </c>
    </row>
    <row r="20" spans="2:6" ht="30" x14ac:dyDescent="0.25">
      <c r="B20" s="2" t="s">
        <v>509</v>
      </c>
      <c r="C20" s="7">
        <f>9257*10^6*INPUT!$C$10/10^4</f>
        <v>3281606500</v>
      </c>
    </row>
    <row r="21" spans="2:6" ht="30" x14ac:dyDescent="0.25">
      <c r="B21" s="2" t="s">
        <v>510</v>
      </c>
      <c r="C21" s="7">
        <v>488142238375</v>
      </c>
    </row>
    <row r="22" spans="2:6" x14ac:dyDescent="0.25">
      <c r="B22" s="2" t="s">
        <v>511</v>
      </c>
      <c r="C22" s="7">
        <f>C21-C19-C20</f>
        <v>83043436875</v>
      </c>
    </row>
    <row r="24" spans="2:6" x14ac:dyDescent="0.25">
      <c r="B24" s="18" t="s">
        <v>512</v>
      </c>
      <c r="C24" s="21"/>
      <c r="D24" s="21"/>
      <c r="E24" s="21"/>
      <c r="F24" s="21"/>
    </row>
  </sheetData>
  <mergeCells count="2">
    <mergeCell ref="A1:F1"/>
    <mergeCell ref="B24:F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showGridLines="0" workbookViewId="0"/>
  </sheetViews>
  <sheetFormatPr defaultRowHeight="15" x14ac:dyDescent="0.25"/>
  <cols>
    <col min="1" max="1" width="4" customWidth="1"/>
    <col min="2" max="2" width="38" customWidth="1"/>
    <col min="3" max="5" width="18" customWidth="1"/>
  </cols>
  <sheetData>
    <row r="1" spans="1:3" x14ac:dyDescent="0.25">
      <c r="A1" t="s">
        <v>513</v>
      </c>
    </row>
    <row r="3" spans="1:3" x14ac:dyDescent="0.25">
      <c r="A3" t="s">
        <v>514</v>
      </c>
      <c r="B3" t="s">
        <v>515</v>
      </c>
      <c r="C3" t="s">
        <v>516</v>
      </c>
    </row>
    <row r="4" spans="1:3" x14ac:dyDescent="0.25">
      <c r="A4" t="s">
        <v>517</v>
      </c>
      <c r="B4">
        <v>1192.8356712499997</v>
      </c>
      <c r="C4" t="s">
        <v>132</v>
      </c>
    </row>
    <row r="5" spans="1:3" x14ac:dyDescent="0.25">
      <c r="A5" t="s">
        <v>518</v>
      </c>
      <c r="B5">
        <v>38.930360153999999</v>
      </c>
      <c r="C5" t="s">
        <v>132</v>
      </c>
    </row>
    <row r="6" spans="1:3" x14ac:dyDescent="0.25">
      <c r="A6" t="s">
        <v>519</v>
      </c>
      <c r="B6">
        <v>1572.2729132000002</v>
      </c>
      <c r="C6" t="s">
        <v>132</v>
      </c>
    </row>
    <row r="7" spans="1:3" x14ac:dyDescent="0.25">
      <c r="A7" t="s">
        <v>520</v>
      </c>
      <c r="B7">
        <v>1572.2729132000002</v>
      </c>
      <c r="C7" t="s">
        <v>132</v>
      </c>
    </row>
    <row r="8" spans="1:3" x14ac:dyDescent="0.25">
      <c r="A8" t="s">
        <v>521</v>
      </c>
      <c r="B8">
        <v>0</v>
      </c>
      <c r="C8" t="s">
        <v>132</v>
      </c>
    </row>
    <row r="9" spans="1:3" x14ac:dyDescent="0.25">
      <c r="A9" t="s">
        <v>522</v>
      </c>
      <c r="B9">
        <v>68.678296135272845</v>
      </c>
      <c r="C9" t="s">
        <v>132</v>
      </c>
    </row>
    <row r="10" spans="1:3" x14ac:dyDescent="0.25">
      <c r="A10" t="s">
        <v>523</v>
      </c>
      <c r="B10">
        <v>-119.34466694918066</v>
      </c>
      <c r="C10" t="s">
        <v>132</v>
      </c>
    </row>
    <row r="11" spans="1:3" x14ac:dyDescent="0.25">
      <c r="A11" t="s">
        <v>524</v>
      </c>
      <c r="B11">
        <v>2.3958359123340545E-3</v>
      </c>
      <c r="C11" t="s">
        <v>525</v>
      </c>
    </row>
    <row r="12" spans="1:3" x14ac:dyDescent="0.25">
      <c r="A12" t="s">
        <v>526</v>
      </c>
      <c r="B12">
        <v>2.9682968707244184E-3</v>
      </c>
      <c r="C12" t="s">
        <v>525</v>
      </c>
    </row>
    <row r="13" spans="1:3" x14ac:dyDescent="0.25">
      <c r="A13" t="s">
        <v>306</v>
      </c>
      <c r="B13">
        <v>-118.89334840629071</v>
      </c>
      <c r="C13" t="s">
        <v>132</v>
      </c>
    </row>
    <row r="14" spans="1:3" x14ac:dyDescent="0.25">
      <c r="A14" t="s">
        <v>527</v>
      </c>
      <c r="B14">
        <v>4</v>
      </c>
      <c r="C14" t="s">
        <v>200</v>
      </c>
    </row>
    <row r="15" spans="1:3" x14ac:dyDescent="0.25">
      <c r="A15" t="s">
        <v>528</v>
      </c>
      <c r="B15">
        <v>15116</v>
      </c>
      <c r="C15" t="s">
        <v>207</v>
      </c>
    </row>
    <row r="16" spans="1:3" x14ac:dyDescent="0.25">
      <c r="A16" t="s">
        <v>529</v>
      </c>
      <c r="B16">
        <v>1581</v>
      </c>
      <c r="C16" t="s">
        <v>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4"/>
  <sheetViews>
    <sheetView showGridLines="0" workbookViewId="0"/>
  </sheetViews>
  <sheetFormatPr defaultRowHeight="15" x14ac:dyDescent="0.25"/>
  <cols>
    <col min="1" max="1" width="4" customWidth="1"/>
    <col min="2" max="14" width="16" customWidth="1"/>
  </cols>
  <sheetData>
    <row r="1" spans="1:15" x14ac:dyDescent="0.25">
      <c r="A1" t="s">
        <v>82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  <c r="K1" t="s">
        <v>539</v>
      </c>
      <c r="L1" t="s">
        <v>540</v>
      </c>
      <c r="M1" t="s">
        <v>541</v>
      </c>
      <c r="N1" t="s">
        <v>542</v>
      </c>
      <c r="O1" t="s">
        <v>564</v>
      </c>
    </row>
    <row r="2" spans="1:15" x14ac:dyDescent="0.25">
      <c r="A2">
        <v>2026</v>
      </c>
      <c r="B2">
        <v>0</v>
      </c>
      <c r="C2">
        <v>0</v>
      </c>
      <c r="D2">
        <v>200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-200</v>
      </c>
      <c r="M2">
        <v>-200</v>
      </c>
      <c r="N2">
        <v>0</v>
      </c>
      <c r="O2" s="17">
        <f t="shared" ref="O2:O14" si="0">DATE($A2-1,1,1)</f>
        <v>45658</v>
      </c>
    </row>
    <row r="3" spans="1:15" x14ac:dyDescent="0.25">
      <c r="A3">
        <v>2027</v>
      </c>
      <c r="B3">
        <v>0</v>
      </c>
      <c r="C3">
        <v>0</v>
      </c>
      <c r="D3">
        <v>215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-215</v>
      </c>
      <c r="M3">
        <v>-215</v>
      </c>
      <c r="N3">
        <v>0</v>
      </c>
      <c r="O3" s="17">
        <f t="shared" si="0"/>
        <v>46023</v>
      </c>
    </row>
    <row r="4" spans="1:15" x14ac:dyDescent="0.25">
      <c r="A4">
        <v>2028</v>
      </c>
      <c r="B4">
        <v>181.32892800000002</v>
      </c>
      <c r="C4">
        <v>0</v>
      </c>
      <c r="D4">
        <v>478.45666849999998</v>
      </c>
      <c r="E4">
        <v>0</v>
      </c>
      <c r="F4">
        <v>101.90685753600003</v>
      </c>
      <c r="G4">
        <v>0</v>
      </c>
      <c r="H4">
        <v>1.8132892800000002</v>
      </c>
      <c r="I4">
        <v>0</v>
      </c>
      <c r="J4">
        <v>324.41966795000002</v>
      </c>
      <c r="K4">
        <v>0</v>
      </c>
      <c r="L4">
        <v>-400.84788731600003</v>
      </c>
      <c r="M4">
        <v>-76.428219365999993</v>
      </c>
      <c r="N4">
        <v>324.41966795000002</v>
      </c>
      <c r="O4" s="17">
        <f t="shared" si="0"/>
        <v>46388</v>
      </c>
    </row>
    <row r="5" spans="1:15" x14ac:dyDescent="0.25">
      <c r="A5">
        <v>2029</v>
      </c>
      <c r="B5">
        <v>995.79802960000018</v>
      </c>
      <c r="C5">
        <v>0</v>
      </c>
      <c r="D5">
        <v>236.88283562500001</v>
      </c>
      <c r="E5">
        <v>0</v>
      </c>
      <c r="F5">
        <v>108.61300572320003</v>
      </c>
      <c r="G5">
        <v>32.174280950551747</v>
      </c>
      <c r="H5">
        <v>9.9579802960000023</v>
      </c>
      <c r="I5">
        <v>38.930360153999999</v>
      </c>
      <c r="J5">
        <v>155.3179849375</v>
      </c>
      <c r="K5">
        <v>479.73765288750002</v>
      </c>
      <c r="L5">
        <v>569.23956685124824</v>
      </c>
      <c r="M5">
        <v>244.81989890124828</v>
      </c>
      <c r="N5">
        <v>0</v>
      </c>
      <c r="O5" s="17">
        <f t="shared" si="0"/>
        <v>46753</v>
      </c>
    </row>
    <row r="6" spans="1:15" x14ac:dyDescent="0.25">
      <c r="A6">
        <v>2030</v>
      </c>
      <c r="B6">
        <v>395.14595560000004</v>
      </c>
      <c r="C6">
        <v>0</v>
      </c>
      <c r="D6">
        <v>62.496167124999999</v>
      </c>
      <c r="E6">
        <v>0</v>
      </c>
      <c r="F6">
        <v>56.766531984800011</v>
      </c>
      <c r="G6">
        <v>19.839432386357352</v>
      </c>
      <c r="H6">
        <v>5.3983044578182122</v>
      </c>
      <c r="I6">
        <v>0</v>
      </c>
      <c r="J6">
        <v>33.2473169875</v>
      </c>
      <c r="K6">
        <v>33.2473169875</v>
      </c>
      <c r="L6">
        <v>250.6455196460245</v>
      </c>
      <c r="M6">
        <v>250.64551964602452</v>
      </c>
      <c r="N6">
        <v>0</v>
      </c>
      <c r="O6" s="17">
        <f t="shared" si="0"/>
        <v>47119</v>
      </c>
    </row>
    <row r="7" spans="1:15" x14ac:dyDescent="0.25">
      <c r="A7">
        <v>2031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17">
        <f t="shared" si="0"/>
        <v>47484</v>
      </c>
    </row>
    <row r="8" spans="1:15" x14ac:dyDescent="0.25">
      <c r="A8">
        <v>2032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7">
        <f t="shared" si="0"/>
        <v>47849</v>
      </c>
    </row>
    <row r="9" spans="1:15" x14ac:dyDescent="0.25">
      <c r="A9">
        <v>2033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7">
        <f t="shared" si="0"/>
        <v>48214</v>
      </c>
    </row>
    <row r="10" spans="1:15" x14ac:dyDescent="0.25">
      <c r="A10">
        <v>2034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17">
        <f t="shared" si="0"/>
        <v>48580</v>
      </c>
    </row>
    <row r="11" spans="1:15" x14ac:dyDescent="0.25">
      <c r="A1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7">
        <f t="shared" si="0"/>
        <v>48945</v>
      </c>
    </row>
    <row r="12" spans="1:15" x14ac:dyDescent="0.25">
      <c r="A12">
        <v>2036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7">
        <f t="shared" si="0"/>
        <v>49310</v>
      </c>
    </row>
    <row r="13" spans="1:15" x14ac:dyDescent="0.25">
      <c r="A13">
        <v>2037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17">
        <f t="shared" si="0"/>
        <v>49675</v>
      </c>
    </row>
    <row r="14" spans="1:15" x14ac:dyDescent="0.25">
      <c r="A14">
        <v>2038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17">
        <f t="shared" si="0"/>
        <v>50041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showGridLines="0" workbookViewId="0"/>
  </sheetViews>
  <sheetFormatPr defaultRowHeight="15" x14ac:dyDescent="0.25"/>
  <cols>
    <col min="1" max="1" width="4" customWidth="1"/>
    <col min="2" max="4" width="16" customWidth="1"/>
  </cols>
  <sheetData>
    <row r="1" spans="1:4" x14ac:dyDescent="0.25">
      <c r="A1" t="s">
        <v>82</v>
      </c>
      <c r="B1" t="s">
        <v>543</v>
      </c>
      <c r="C1" t="s">
        <v>544</v>
      </c>
      <c r="D1" t="s">
        <v>545</v>
      </c>
    </row>
    <row r="2" spans="1:4" x14ac:dyDescent="0.25">
      <c r="A2">
        <v>2026</v>
      </c>
      <c r="B2">
        <v>0</v>
      </c>
      <c r="C2">
        <v>0</v>
      </c>
      <c r="D2">
        <v>0</v>
      </c>
    </row>
    <row r="3" spans="1:4" x14ac:dyDescent="0.25">
      <c r="A3">
        <v>2027</v>
      </c>
      <c r="B3">
        <v>0</v>
      </c>
      <c r="C3">
        <v>0</v>
      </c>
      <c r="D3">
        <v>0</v>
      </c>
    </row>
    <row r="4" spans="1:4" x14ac:dyDescent="0.25">
      <c r="A4">
        <v>2028</v>
      </c>
      <c r="B4">
        <v>159.62496000000004</v>
      </c>
      <c r="C4">
        <v>21.703968000000003</v>
      </c>
      <c r="D4">
        <v>181.32892800000002</v>
      </c>
    </row>
    <row r="5" spans="1:4" x14ac:dyDescent="0.25">
      <c r="A5">
        <v>2029</v>
      </c>
      <c r="B5">
        <v>876.60707200000013</v>
      </c>
      <c r="C5">
        <v>119.19095760000003</v>
      </c>
      <c r="D5">
        <v>995.79802960000018</v>
      </c>
    </row>
    <row r="6" spans="1:4" x14ac:dyDescent="0.25">
      <c r="A6">
        <v>2030</v>
      </c>
      <c r="B6">
        <v>347.84939200000008</v>
      </c>
      <c r="C6">
        <v>47.296563600000006</v>
      </c>
      <c r="D6">
        <v>395.14595560000004</v>
      </c>
    </row>
    <row r="7" spans="1:4" x14ac:dyDescent="0.25">
      <c r="A7">
        <v>2031</v>
      </c>
      <c r="B7">
        <v>0</v>
      </c>
      <c r="C7">
        <v>0</v>
      </c>
      <c r="D7">
        <v>0</v>
      </c>
    </row>
    <row r="8" spans="1:4" x14ac:dyDescent="0.25">
      <c r="A8">
        <v>2032</v>
      </c>
      <c r="B8">
        <v>0</v>
      </c>
      <c r="C8">
        <v>0</v>
      </c>
      <c r="D8">
        <v>0</v>
      </c>
    </row>
    <row r="9" spans="1:4" x14ac:dyDescent="0.25">
      <c r="A9">
        <v>2033</v>
      </c>
      <c r="B9">
        <v>0</v>
      </c>
      <c r="C9">
        <v>0</v>
      </c>
      <c r="D9">
        <v>0</v>
      </c>
    </row>
    <row r="10" spans="1:4" x14ac:dyDescent="0.25">
      <c r="A10">
        <v>2034</v>
      </c>
      <c r="B10">
        <v>0</v>
      </c>
      <c r="C10">
        <v>0</v>
      </c>
      <c r="D10">
        <v>0</v>
      </c>
    </row>
    <row r="11" spans="1:4" x14ac:dyDescent="0.25">
      <c r="A11">
        <v>2035</v>
      </c>
      <c r="B11">
        <v>0</v>
      </c>
      <c r="C11">
        <v>0</v>
      </c>
      <c r="D11">
        <v>0</v>
      </c>
    </row>
    <row r="12" spans="1:4" x14ac:dyDescent="0.25">
      <c r="A12">
        <v>2036</v>
      </c>
      <c r="B12">
        <v>0</v>
      </c>
      <c r="C12">
        <v>0</v>
      </c>
      <c r="D12">
        <v>0</v>
      </c>
    </row>
    <row r="13" spans="1:4" x14ac:dyDescent="0.25">
      <c r="A13">
        <v>2037</v>
      </c>
      <c r="B13">
        <v>0</v>
      </c>
      <c r="C13">
        <v>0</v>
      </c>
      <c r="D13">
        <v>0</v>
      </c>
    </row>
    <row r="14" spans="1:4" x14ac:dyDescent="0.25">
      <c r="A14">
        <v>2038</v>
      </c>
      <c r="B14">
        <v>0</v>
      </c>
      <c r="C14">
        <v>0</v>
      </c>
      <c r="D1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4748B"/>
  </sheetPr>
  <dimension ref="A1:M8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6" width="16" customWidth="1"/>
    <col min="7" max="7" width="4" customWidth="1"/>
    <col min="8" max="12" width="16" customWidth="1"/>
  </cols>
  <sheetData>
    <row r="1" spans="1:13" ht="22.5" x14ac:dyDescent="0.25">
      <c r="A1" s="22" t="s">
        <v>546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3" ht="30" x14ac:dyDescent="0.25">
      <c r="A3" s="3" t="s">
        <v>547</v>
      </c>
      <c r="B3" s="3" t="s">
        <v>548</v>
      </c>
      <c r="C3" s="3" t="s">
        <v>549</v>
      </c>
      <c r="D3" s="3" t="s">
        <v>550</v>
      </c>
      <c r="E3" s="3" t="s">
        <v>551</v>
      </c>
      <c r="F3" s="3" t="s">
        <v>552</v>
      </c>
      <c r="G3" s="3" t="s">
        <v>1</v>
      </c>
      <c r="H3" s="3" t="s">
        <v>547</v>
      </c>
      <c r="I3" s="3" t="s">
        <v>548</v>
      </c>
      <c r="J3" s="3" t="s">
        <v>549</v>
      </c>
      <c r="K3" s="3" t="s">
        <v>550</v>
      </c>
      <c r="L3" s="3" t="s">
        <v>551</v>
      </c>
      <c r="M3" s="3" t="s">
        <v>553</v>
      </c>
    </row>
    <row r="4" spans="1:13" x14ac:dyDescent="0.25">
      <c r="A4">
        <v>1</v>
      </c>
      <c r="B4">
        <v>-0.99</v>
      </c>
      <c r="C4">
        <v>10</v>
      </c>
      <c r="D4">
        <f t="shared" ref="D4:D35" si="0">(B4+C4)/2</f>
        <v>4.5049999999999999</v>
      </c>
      <c r="E4">
        <f>SUMPRODUCT(FS!$D$32:$BK$32/(1+D4)^((FS!$D$2:$BK$2-FS!$D$2)/365))</f>
        <v>-240268693603.75504</v>
      </c>
      <c r="F4" s="8">
        <f t="shared" ref="F4:F35" si="1">D4</f>
        <v>4.5049999999999999</v>
      </c>
      <c r="G4">
        <f>SUMPRODUCT(FS!$D$27:$BK$27/(1+K4)^((FS!$D$2:$BK$2-FS!$D$2)/365))</f>
        <v>-249038282013.61194</v>
      </c>
      <c r="H4">
        <v>1</v>
      </c>
      <c r="I4">
        <v>-0.99</v>
      </c>
      <c r="J4">
        <v>10</v>
      </c>
      <c r="K4">
        <f t="shared" ref="K4:K35" si="2">(I4+J4)/2</f>
        <v>4.5049999999999999</v>
      </c>
      <c r="L4" s="8">
        <f t="shared" ref="L4:L35" si="3">K4</f>
        <v>4.5049999999999999</v>
      </c>
    </row>
    <row r="5" spans="1:13" x14ac:dyDescent="0.25">
      <c r="A5">
        <v>2</v>
      </c>
      <c r="B5">
        <f>IF(SUMPRODUCT(FS!$D$32:$BK$32/(1+B4)^((FS!$D$2:$BK$2-FS!$D$2)/365))*SUMPRODUCT(FS!$D$32:$BK$32/(1+D4)^((FS!$D$2:$BK$2-FS!$D$2)/365))&lt;=0,B4,D4)</f>
        <v>-0.99</v>
      </c>
      <c r="C5">
        <f>IF(SUMPRODUCT(FS!$D$32:$BK$32/(1+B4)^((FS!$D$2:$BK$2-FS!$D$2)/365))*SUMPRODUCT(FS!$D$32:$BK$32/(1+D4)^((FS!$D$2:$BK$2-FS!$D$2)/365))&lt;=0,D4,C4)</f>
        <v>4.5049999999999999</v>
      </c>
      <c r="D5">
        <f t="shared" si="0"/>
        <v>1.7574999999999998</v>
      </c>
      <c r="E5">
        <f>SUMPRODUCT(FS!$D$32:$BK$32/(1+D5)^((FS!$D$2:$BK$2-FS!$D$2)/365))</f>
        <v>-274880874317.08215</v>
      </c>
      <c r="F5" s="8">
        <f t="shared" si="1"/>
        <v>1.7574999999999998</v>
      </c>
      <c r="G5">
        <f>SUMPRODUCT(FS!$D$27:$BK$27/(1+K5)^((FS!$D$2:$BK$2-FS!$D$2)/365))</f>
        <v>-302116738581.52979</v>
      </c>
      <c r="H5">
        <v>2</v>
      </c>
      <c r="I5">
        <f>IF(SUMPRODUCT(FS!$D$27:$BK$27/(1+I4)^((FS!$D$2:$BK$2-FS!$D$2)/365))*SUMPRODUCT(FS!$D$27:$BK$27/(1+K4)^((FS!$D$2:$BK$2-FS!$D$2)/365))&lt;=0,I4,K4)</f>
        <v>-0.99</v>
      </c>
      <c r="J5">
        <f>IF(SUMPRODUCT(FS!$D$27:$BK$27/(1+I4)^((FS!$D$2:$BK$2-FS!$D$2)/365))*SUMPRODUCT(FS!$D$27:$BK$27/(1+K4)^((FS!$D$2:$BK$2-FS!$D$2)/365))&lt;=0,K4,J4)</f>
        <v>4.5049999999999999</v>
      </c>
      <c r="K5">
        <f t="shared" si="2"/>
        <v>1.7574999999999998</v>
      </c>
      <c r="L5" s="8">
        <f t="shared" si="3"/>
        <v>1.7574999999999998</v>
      </c>
    </row>
    <row r="6" spans="1:13" x14ac:dyDescent="0.25">
      <c r="A6">
        <v>3</v>
      </c>
      <c r="B6">
        <f>IF(SUMPRODUCT(FS!$D$32:$BK$32/(1+B5)^((FS!$D$2:$BK$2-FS!$D$2)/365))*SUMPRODUCT(FS!$D$32:$BK$32/(1+D5)^((FS!$D$2:$BK$2-FS!$D$2)/365))&lt;=0,B5,D5)</f>
        <v>-0.99</v>
      </c>
      <c r="C6">
        <f>IF(SUMPRODUCT(FS!$D$32:$BK$32/(1+B5)^((FS!$D$2:$BK$2-FS!$D$2)/365))*SUMPRODUCT(FS!$D$32:$BK$32/(1+D5)^((FS!$D$2:$BK$2-FS!$D$2)/365))&lt;=0,D5,C5)</f>
        <v>1.7574999999999998</v>
      </c>
      <c r="D6">
        <f t="shared" si="0"/>
        <v>0.38374999999999992</v>
      </c>
      <c r="E6">
        <f>SUMPRODUCT(FS!$D$32:$BK$32/(1+D6)^((FS!$D$2:$BK$2-FS!$D$2)/365))</f>
        <v>-255361576262.59293</v>
      </c>
      <c r="F6" s="8">
        <f t="shared" si="1"/>
        <v>0.38374999999999992</v>
      </c>
      <c r="G6">
        <f>SUMPRODUCT(FS!$D$27:$BK$27/(1+K6)^((FS!$D$2:$BK$2-FS!$D$2)/365))</f>
        <v>-302458019442.95093</v>
      </c>
      <c r="H6">
        <v>3</v>
      </c>
      <c r="I6">
        <f>IF(SUMPRODUCT(FS!$D$27:$BK$27/(1+I5)^((FS!$D$2:$BK$2-FS!$D$2)/365))*SUMPRODUCT(FS!$D$27:$BK$27/(1+K5)^((FS!$D$2:$BK$2-FS!$D$2)/365))&lt;=0,I5,K5)</f>
        <v>-0.99</v>
      </c>
      <c r="J6">
        <f>IF(SUMPRODUCT(FS!$D$27:$BK$27/(1+I5)^((FS!$D$2:$BK$2-FS!$D$2)/365))*SUMPRODUCT(FS!$D$27:$BK$27/(1+K5)^((FS!$D$2:$BK$2-FS!$D$2)/365))&lt;=0,K5,J5)</f>
        <v>1.7574999999999998</v>
      </c>
      <c r="K6">
        <f t="shared" si="2"/>
        <v>0.38374999999999992</v>
      </c>
      <c r="L6" s="8">
        <f t="shared" si="3"/>
        <v>0.38374999999999992</v>
      </c>
    </row>
    <row r="7" spans="1:13" x14ac:dyDescent="0.25">
      <c r="A7">
        <v>4</v>
      </c>
      <c r="B7">
        <f>IF(SUMPRODUCT(FS!$D$32:$BK$32/(1+B6)^((FS!$D$2:$BK$2-FS!$D$2)/365))*SUMPRODUCT(FS!$D$32:$BK$32/(1+D6)^((FS!$D$2:$BK$2-FS!$D$2)/365))&lt;=0,B6,D6)</f>
        <v>-0.99</v>
      </c>
      <c r="C7">
        <f>IF(SUMPRODUCT(FS!$D$32:$BK$32/(1+B6)^((FS!$D$2:$BK$2-FS!$D$2)/365))*SUMPRODUCT(FS!$D$32:$BK$32/(1+D6)^((FS!$D$2:$BK$2-FS!$D$2)/365))&lt;=0,D6,C6)</f>
        <v>0.38374999999999992</v>
      </c>
      <c r="D7">
        <f t="shared" si="0"/>
        <v>-0.30312500000000003</v>
      </c>
      <c r="E7">
        <f>SUMPRODUCT(FS!$D$32:$BK$32/(1+D7)^((FS!$D$2:$BK$2-FS!$D$2)/365))</f>
        <v>959467970292.73987</v>
      </c>
      <c r="F7" s="8">
        <f t="shared" si="1"/>
        <v>-0.30312500000000003</v>
      </c>
      <c r="G7">
        <f>SUMPRODUCT(FS!$D$27:$BK$27/(1+K7)^((FS!$D$2:$BK$2-FS!$D$2)/365))</f>
        <v>1250995972561.4082</v>
      </c>
      <c r="H7">
        <v>4</v>
      </c>
      <c r="I7">
        <f>IF(SUMPRODUCT(FS!$D$27:$BK$27/(1+I6)^((FS!$D$2:$BK$2-FS!$D$2)/365))*SUMPRODUCT(FS!$D$27:$BK$27/(1+K6)^((FS!$D$2:$BK$2-FS!$D$2)/365))&lt;=0,I6,K6)</f>
        <v>-0.99</v>
      </c>
      <c r="J7">
        <f>IF(SUMPRODUCT(FS!$D$27:$BK$27/(1+I6)^((FS!$D$2:$BK$2-FS!$D$2)/365))*SUMPRODUCT(FS!$D$27:$BK$27/(1+K6)^((FS!$D$2:$BK$2-FS!$D$2)/365))&lt;=0,K6,J6)</f>
        <v>0.38374999999999992</v>
      </c>
      <c r="K7">
        <f t="shared" si="2"/>
        <v>-0.30312500000000003</v>
      </c>
      <c r="L7" s="8">
        <f t="shared" si="3"/>
        <v>-0.30312500000000003</v>
      </c>
    </row>
    <row r="8" spans="1:13" x14ac:dyDescent="0.25">
      <c r="A8">
        <v>5</v>
      </c>
      <c r="B8">
        <f>IF(SUMPRODUCT(FS!$D$32:$BK$32/(1+B7)^((FS!$D$2:$BK$2-FS!$D$2)/365))*SUMPRODUCT(FS!$D$32:$BK$32/(1+D7)^((FS!$D$2:$BK$2-FS!$D$2)/365))&lt;=0,B7,D7)</f>
        <v>-0.30312500000000003</v>
      </c>
      <c r="C8">
        <f>IF(SUMPRODUCT(FS!$D$32:$BK$32/(1+B7)^((FS!$D$2:$BK$2-FS!$D$2)/365))*SUMPRODUCT(FS!$D$32:$BK$32/(1+D7)^((FS!$D$2:$BK$2-FS!$D$2)/365))&lt;=0,D7,C7)</f>
        <v>0.38374999999999992</v>
      </c>
      <c r="D8">
        <f t="shared" si="0"/>
        <v>4.0312499999999946E-2</v>
      </c>
      <c r="E8">
        <f>SUMPRODUCT(FS!$D$32:$BK$32/(1+D8)^((FS!$D$2:$BK$2-FS!$D$2)/365))</f>
        <v>-94202439689.932068</v>
      </c>
      <c r="F8" s="8">
        <f t="shared" si="1"/>
        <v>4.0312499999999946E-2</v>
      </c>
      <c r="G8">
        <f>SUMPRODUCT(FS!$D$27:$BK$27/(1+K8)^((FS!$D$2:$BK$2-FS!$D$2)/365))</f>
        <v>-105849607181.23157</v>
      </c>
      <c r="H8">
        <v>5</v>
      </c>
      <c r="I8">
        <f>IF(SUMPRODUCT(FS!$D$27:$BK$27/(1+I7)^((FS!$D$2:$BK$2-FS!$D$2)/365))*SUMPRODUCT(FS!$D$27:$BK$27/(1+K7)^((FS!$D$2:$BK$2-FS!$D$2)/365))&lt;=0,I7,K7)</f>
        <v>-0.30312500000000003</v>
      </c>
      <c r="J8">
        <f>IF(SUMPRODUCT(FS!$D$27:$BK$27/(1+I7)^((FS!$D$2:$BK$2-FS!$D$2)/365))*SUMPRODUCT(FS!$D$27:$BK$27/(1+K7)^((FS!$D$2:$BK$2-FS!$D$2)/365))&lt;=0,K7,J7)</f>
        <v>0.38374999999999992</v>
      </c>
      <c r="K8">
        <f t="shared" si="2"/>
        <v>4.0312499999999946E-2</v>
      </c>
      <c r="L8" s="8">
        <f t="shared" si="3"/>
        <v>4.0312499999999946E-2</v>
      </c>
    </row>
    <row r="9" spans="1:13" x14ac:dyDescent="0.25">
      <c r="A9">
        <v>6</v>
      </c>
      <c r="B9">
        <f>IF(SUMPRODUCT(FS!$D$32:$BK$32/(1+B8)^((FS!$D$2:$BK$2-FS!$D$2)/365))*SUMPRODUCT(FS!$D$32:$BK$32/(1+D8)^((FS!$D$2:$BK$2-FS!$D$2)/365))&lt;=0,B8,D8)</f>
        <v>-0.30312500000000003</v>
      </c>
      <c r="C9">
        <f>IF(SUMPRODUCT(FS!$D$32:$BK$32/(1+B8)^((FS!$D$2:$BK$2-FS!$D$2)/365))*SUMPRODUCT(FS!$D$32:$BK$32/(1+D8)^((FS!$D$2:$BK$2-FS!$D$2)/365))&lt;=0,D8,C8)</f>
        <v>4.0312499999999946E-2</v>
      </c>
      <c r="D9">
        <f t="shared" si="0"/>
        <v>-0.13140625000000006</v>
      </c>
      <c r="E9">
        <f>SUMPRODUCT(FS!$D$32:$BK$32/(1+D9)^((FS!$D$2:$BK$2-FS!$D$2)/365))</f>
        <v>182262896208.53778</v>
      </c>
      <c r="F9" s="8">
        <f t="shared" si="1"/>
        <v>-0.13140625000000006</v>
      </c>
      <c r="G9">
        <f>SUMPRODUCT(FS!$D$27:$BK$27/(1+K9)^((FS!$D$2:$BK$2-FS!$D$2)/365))</f>
        <v>247507875968.6076</v>
      </c>
      <c r="H9">
        <v>6</v>
      </c>
      <c r="I9">
        <f>IF(SUMPRODUCT(FS!$D$27:$BK$27/(1+I8)^((FS!$D$2:$BK$2-FS!$D$2)/365))*SUMPRODUCT(FS!$D$27:$BK$27/(1+K8)^((FS!$D$2:$BK$2-FS!$D$2)/365))&lt;=0,I8,K8)</f>
        <v>-0.30312500000000003</v>
      </c>
      <c r="J9">
        <f>IF(SUMPRODUCT(FS!$D$27:$BK$27/(1+I8)^((FS!$D$2:$BK$2-FS!$D$2)/365))*SUMPRODUCT(FS!$D$27:$BK$27/(1+K8)^((FS!$D$2:$BK$2-FS!$D$2)/365))&lt;=0,K8,J8)</f>
        <v>4.0312499999999946E-2</v>
      </c>
      <c r="K9">
        <f t="shared" si="2"/>
        <v>-0.13140625000000006</v>
      </c>
      <c r="L9" s="8">
        <f t="shared" si="3"/>
        <v>-0.13140625000000006</v>
      </c>
    </row>
    <row r="10" spans="1:13" x14ac:dyDescent="0.25">
      <c r="A10">
        <v>7</v>
      </c>
      <c r="B10">
        <f>IF(SUMPRODUCT(FS!$D$32:$BK$32/(1+B9)^((FS!$D$2:$BK$2-FS!$D$2)/365))*SUMPRODUCT(FS!$D$32:$BK$32/(1+D9)^((FS!$D$2:$BK$2-FS!$D$2)/365))&lt;=0,B9,D9)</f>
        <v>-0.13140625000000006</v>
      </c>
      <c r="C10">
        <f>IF(SUMPRODUCT(FS!$D$32:$BK$32/(1+B9)^((FS!$D$2:$BK$2-FS!$D$2)/365))*SUMPRODUCT(FS!$D$32:$BK$32/(1+D9)^((FS!$D$2:$BK$2-FS!$D$2)/365))&lt;=0,D9,C9)</f>
        <v>4.0312499999999946E-2</v>
      </c>
      <c r="D10">
        <f t="shared" si="0"/>
        <v>-4.5546875000000056E-2</v>
      </c>
      <c r="E10">
        <f>SUMPRODUCT(FS!$D$32:$BK$32/(1+D10)^((FS!$D$2:$BK$2-FS!$D$2)/365))</f>
        <v>11938754686.042847</v>
      </c>
      <c r="F10" s="8">
        <f t="shared" si="1"/>
        <v>-4.5546875000000056E-2</v>
      </c>
      <c r="G10">
        <f>SUMPRODUCT(FS!$D$27:$BK$27/(1+K10)^((FS!$D$2:$BK$2-FS!$D$2)/365))</f>
        <v>28980658822.237061</v>
      </c>
      <c r="H10">
        <v>7</v>
      </c>
      <c r="I10">
        <f>IF(SUMPRODUCT(FS!$D$27:$BK$27/(1+I9)^((FS!$D$2:$BK$2-FS!$D$2)/365))*SUMPRODUCT(FS!$D$27:$BK$27/(1+K9)^((FS!$D$2:$BK$2-FS!$D$2)/365))&lt;=0,I9,K9)</f>
        <v>-0.13140625000000006</v>
      </c>
      <c r="J10">
        <f>IF(SUMPRODUCT(FS!$D$27:$BK$27/(1+I9)^((FS!$D$2:$BK$2-FS!$D$2)/365))*SUMPRODUCT(FS!$D$27:$BK$27/(1+K9)^((FS!$D$2:$BK$2-FS!$D$2)/365))&lt;=0,K9,J9)</f>
        <v>4.0312499999999946E-2</v>
      </c>
      <c r="K10">
        <f t="shared" si="2"/>
        <v>-4.5546875000000056E-2</v>
      </c>
      <c r="L10" s="8">
        <f t="shared" si="3"/>
        <v>-4.5546875000000056E-2</v>
      </c>
    </row>
    <row r="11" spans="1:13" x14ac:dyDescent="0.25">
      <c r="A11">
        <v>8</v>
      </c>
      <c r="B11">
        <f>IF(SUMPRODUCT(FS!$D$32:$BK$32/(1+B10)^((FS!$D$2:$BK$2-FS!$D$2)/365))*SUMPRODUCT(FS!$D$32:$BK$32/(1+D10)^((FS!$D$2:$BK$2-FS!$D$2)/365))&lt;=0,B10,D10)</f>
        <v>-4.5546875000000056E-2</v>
      </c>
      <c r="C11">
        <f>IF(SUMPRODUCT(FS!$D$32:$BK$32/(1+B10)^((FS!$D$2:$BK$2-FS!$D$2)/365))*SUMPRODUCT(FS!$D$32:$BK$32/(1+D10)^((FS!$D$2:$BK$2-FS!$D$2)/365))&lt;=0,D10,C10)</f>
        <v>4.0312499999999946E-2</v>
      </c>
      <c r="D11">
        <f t="shared" si="0"/>
        <v>-2.6171875000000552E-3</v>
      </c>
      <c r="E11">
        <f>SUMPRODUCT(FS!$D$32:$BK$32/(1+D11)^((FS!$D$2:$BK$2-FS!$D$2)/365))</f>
        <v>-47170770377.461548</v>
      </c>
      <c r="F11" s="8">
        <f t="shared" si="1"/>
        <v>-2.6171875000000552E-3</v>
      </c>
      <c r="G11">
        <f>SUMPRODUCT(FS!$D$27:$BK$27/(1+K11)^((FS!$D$2:$BK$2-FS!$D$2)/365))</f>
        <v>-46312654073.029175</v>
      </c>
      <c r="H11">
        <v>8</v>
      </c>
      <c r="I11">
        <f>IF(SUMPRODUCT(FS!$D$27:$BK$27/(1+I10)^((FS!$D$2:$BK$2-FS!$D$2)/365))*SUMPRODUCT(FS!$D$27:$BK$27/(1+K10)^((FS!$D$2:$BK$2-FS!$D$2)/365))&lt;=0,I10,K10)</f>
        <v>-4.5546875000000056E-2</v>
      </c>
      <c r="J11">
        <f>IF(SUMPRODUCT(FS!$D$27:$BK$27/(1+I10)^((FS!$D$2:$BK$2-FS!$D$2)/365))*SUMPRODUCT(FS!$D$27:$BK$27/(1+K10)^((FS!$D$2:$BK$2-FS!$D$2)/365))&lt;=0,K10,J10)</f>
        <v>4.0312499999999946E-2</v>
      </c>
      <c r="K11">
        <f t="shared" si="2"/>
        <v>-2.6171875000000552E-3</v>
      </c>
      <c r="L11" s="8">
        <f t="shared" si="3"/>
        <v>-2.6171875000000552E-3</v>
      </c>
    </row>
    <row r="12" spans="1:13" x14ac:dyDescent="0.25">
      <c r="A12">
        <v>9</v>
      </c>
      <c r="B12">
        <f>IF(SUMPRODUCT(FS!$D$32:$BK$32/(1+B11)^((FS!$D$2:$BK$2-FS!$D$2)/365))*SUMPRODUCT(FS!$D$32:$BK$32/(1+D11)^((FS!$D$2:$BK$2-FS!$D$2)/365))&lt;=0,B11,D11)</f>
        <v>-4.5546875000000056E-2</v>
      </c>
      <c r="C12">
        <f>IF(SUMPRODUCT(FS!$D$32:$BK$32/(1+B11)^((FS!$D$2:$BK$2-FS!$D$2)/365))*SUMPRODUCT(FS!$D$32:$BK$32/(1+D11)^((FS!$D$2:$BK$2-FS!$D$2)/365))&lt;=0,D11,C11)</f>
        <v>-2.6171875000000552E-3</v>
      </c>
      <c r="D12">
        <f t="shared" si="0"/>
        <v>-2.4082031250000056E-2</v>
      </c>
      <c r="E12">
        <f>SUMPRODUCT(FS!$D$32:$BK$32/(1+D12)^((FS!$D$2:$BK$2-FS!$D$2)/365))</f>
        <v>-19327238673.939758</v>
      </c>
      <c r="F12" s="8">
        <f t="shared" si="1"/>
        <v>-2.4082031250000056E-2</v>
      </c>
      <c r="G12">
        <f>SUMPRODUCT(FS!$D$27:$BK$27/(1+K12)^((FS!$D$2:$BK$2-FS!$D$2)/365))</f>
        <v>-10898489498.404114</v>
      </c>
      <c r="H12">
        <v>9</v>
      </c>
      <c r="I12">
        <f>IF(SUMPRODUCT(FS!$D$27:$BK$27/(1+I11)^((FS!$D$2:$BK$2-FS!$D$2)/365))*SUMPRODUCT(FS!$D$27:$BK$27/(1+K11)^((FS!$D$2:$BK$2-FS!$D$2)/365))&lt;=0,I11,K11)</f>
        <v>-4.5546875000000056E-2</v>
      </c>
      <c r="J12">
        <f>IF(SUMPRODUCT(FS!$D$27:$BK$27/(1+I11)^((FS!$D$2:$BK$2-FS!$D$2)/365))*SUMPRODUCT(FS!$D$27:$BK$27/(1+K11)^((FS!$D$2:$BK$2-FS!$D$2)/365))&lt;=0,K11,J11)</f>
        <v>-2.6171875000000552E-3</v>
      </c>
      <c r="K12">
        <f t="shared" si="2"/>
        <v>-2.4082031250000056E-2</v>
      </c>
      <c r="L12" s="8">
        <f t="shared" si="3"/>
        <v>-2.4082031250000056E-2</v>
      </c>
    </row>
    <row r="13" spans="1:13" x14ac:dyDescent="0.25">
      <c r="A13">
        <v>10</v>
      </c>
      <c r="B13">
        <f>IF(SUMPRODUCT(FS!$D$32:$BK$32/(1+B12)^((FS!$D$2:$BK$2-FS!$D$2)/365))*SUMPRODUCT(FS!$D$32:$BK$32/(1+D12)^((FS!$D$2:$BK$2-FS!$D$2)/365))&lt;=0,B12,D12)</f>
        <v>-4.5546875000000056E-2</v>
      </c>
      <c r="C13">
        <f>IF(SUMPRODUCT(FS!$D$32:$BK$32/(1+B12)^((FS!$D$2:$BK$2-FS!$D$2)/365))*SUMPRODUCT(FS!$D$32:$BK$32/(1+D12)^((FS!$D$2:$BK$2-FS!$D$2)/365))&lt;=0,D12,C12)</f>
        <v>-2.4082031250000056E-2</v>
      </c>
      <c r="D13">
        <f t="shared" si="0"/>
        <v>-3.4814453125000054E-2</v>
      </c>
      <c r="E13">
        <f>SUMPRODUCT(FS!$D$32:$BK$32/(1+D13)^((FS!$D$2:$BK$2-FS!$D$2)/365))</f>
        <v>-4150665937.4607544</v>
      </c>
      <c r="F13" s="8">
        <f t="shared" si="1"/>
        <v>-3.4814453125000054E-2</v>
      </c>
      <c r="G13">
        <f>SUMPRODUCT(FS!$D$27:$BK$27/(1+K13)^((FS!$D$2:$BK$2-FS!$D$2)/365))</f>
        <v>8445655941.1170044</v>
      </c>
      <c r="H13">
        <v>10</v>
      </c>
      <c r="I13">
        <f>IF(SUMPRODUCT(FS!$D$27:$BK$27/(1+I12)^((FS!$D$2:$BK$2-FS!$D$2)/365))*SUMPRODUCT(FS!$D$27:$BK$27/(1+K12)^((FS!$D$2:$BK$2-FS!$D$2)/365))&lt;=0,I12,K12)</f>
        <v>-4.5546875000000056E-2</v>
      </c>
      <c r="J13">
        <f>IF(SUMPRODUCT(FS!$D$27:$BK$27/(1+I12)^((FS!$D$2:$BK$2-FS!$D$2)/365))*SUMPRODUCT(FS!$D$27:$BK$27/(1+K12)^((FS!$D$2:$BK$2-FS!$D$2)/365))&lt;=0,K12,J12)</f>
        <v>-2.4082031250000056E-2</v>
      </c>
      <c r="K13">
        <f t="shared" si="2"/>
        <v>-3.4814453125000054E-2</v>
      </c>
      <c r="L13" s="8">
        <f t="shared" si="3"/>
        <v>-3.4814453125000054E-2</v>
      </c>
    </row>
    <row r="14" spans="1:13" x14ac:dyDescent="0.25">
      <c r="A14">
        <v>11</v>
      </c>
      <c r="B14">
        <f>IF(SUMPRODUCT(FS!$D$32:$BK$32/(1+B13)^((FS!$D$2:$BK$2-FS!$D$2)/365))*SUMPRODUCT(FS!$D$32:$BK$32/(1+D13)^((FS!$D$2:$BK$2-FS!$D$2)/365))&lt;=0,B13,D13)</f>
        <v>-4.5546875000000056E-2</v>
      </c>
      <c r="C14">
        <f>IF(SUMPRODUCT(FS!$D$32:$BK$32/(1+B13)^((FS!$D$2:$BK$2-FS!$D$2)/365))*SUMPRODUCT(FS!$D$32:$BK$32/(1+D13)^((FS!$D$2:$BK$2-FS!$D$2)/365))&lt;=0,D13,C13)</f>
        <v>-3.4814453125000054E-2</v>
      </c>
      <c r="D14">
        <f t="shared" si="0"/>
        <v>-4.0180664062500052E-2</v>
      </c>
      <c r="E14">
        <f>SUMPRODUCT(FS!$D$32:$BK$32/(1+D14)^((FS!$D$2:$BK$2-FS!$D$2)/365))</f>
        <v>3776118433.0984497</v>
      </c>
      <c r="F14" s="8">
        <f t="shared" si="1"/>
        <v>-4.0180664062500052E-2</v>
      </c>
      <c r="G14">
        <f>SUMPRODUCT(FS!$D$27:$BK$27/(1+K14)^((FS!$D$2:$BK$2-FS!$D$2)/365))</f>
        <v>-1370390336.0584717</v>
      </c>
      <c r="H14">
        <v>11</v>
      </c>
      <c r="I14">
        <f>IF(SUMPRODUCT(FS!$D$27:$BK$27/(1+I13)^((FS!$D$2:$BK$2-FS!$D$2)/365))*SUMPRODUCT(FS!$D$27:$BK$27/(1+K13)^((FS!$D$2:$BK$2-FS!$D$2)/365))&lt;=0,I13,K13)</f>
        <v>-3.4814453125000054E-2</v>
      </c>
      <c r="J14">
        <f>IF(SUMPRODUCT(FS!$D$27:$BK$27/(1+I13)^((FS!$D$2:$BK$2-FS!$D$2)/365))*SUMPRODUCT(FS!$D$27:$BK$27/(1+K13)^((FS!$D$2:$BK$2-FS!$D$2)/365))&lt;=0,K13,J13)</f>
        <v>-2.4082031250000056E-2</v>
      </c>
      <c r="K14">
        <f t="shared" si="2"/>
        <v>-2.9448242187500057E-2</v>
      </c>
      <c r="L14" s="8">
        <f t="shared" si="3"/>
        <v>-2.9448242187500057E-2</v>
      </c>
    </row>
    <row r="15" spans="1:13" x14ac:dyDescent="0.25">
      <c r="A15">
        <v>12</v>
      </c>
      <c r="B15">
        <f>IF(SUMPRODUCT(FS!$D$32:$BK$32/(1+B14)^((FS!$D$2:$BK$2-FS!$D$2)/365))*SUMPRODUCT(FS!$D$32:$BK$32/(1+D14)^((FS!$D$2:$BK$2-FS!$D$2)/365))&lt;=0,B14,D14)</f>
        <v>-4.0180664062500052E-2</v>
      </c>
      <c r="C15">
        <f>IF(SUMPRODUCT(FS!$D$32:$BK$32/(1+B14)^((FS!$D$2:$BK$2-FS!$D$2)/365))*SUMPRODUCT(FS!$D$32:$BK$32/(1+D14)^((FS!$D$2:$BK$2-FS!$D$2)/365))&lt;=0,D14,C14)</f>
        <v>-3.4814453125000054E-2</v>
      </c>
      <c r="D15">
        <f t="shared" si="0"/>
        <v>-3.7497558593750049E-2</v>
      </c>
      <c r="E15">
        <f>SUMPRODUCT(FS!$D$32:$BK$32/(1+D15)^((FS!$D$2:$BK$2-FS!$D$2)/365))</f>
        <v>-216266277.91656494</v>
      </c>
      <c r="F15" s="8">
        <f t="shared" si="1"/>
        <v>-3.7497558593750049E-2</v>
      </c>
      <c r="G15">
        <f>SUMPRODUCT(FS!$D$27:$BK$27/(1+K15)^((FS!$D$2:$BK$2-FS!$D$2)/365))</f>
        <v>3501043390.1790771</v>
      </c>
      <c r="H15">
        <v>12</v>
      </c>
      <c r="I15">
        <f>IF(SUMPRODUCT(FS!$D$27:$BK$27/(1+I14)^((FS!$D$2:$BK$2-FS!$D$2)/365))*SUMPRODUCT(FS!$D$27:$BK$27/(1+K14)^((FS!$D$2:$BK$2-FS!$D$2)/365))&lt;=0,I14,K14)</f>
        <v>-3.4814453125000054E-2</v>
      </c>
      <c r="J15">
        <f>IF(SUMPRODUCT(FS!$D$27:$BK$27/(1+I14)^((FS!$D$2:$BK$2-FS!$D$2)/365))*SUMPRODUCT(FS!$D$27:$BK$27/(1+K14)^((FS!$D$2:$BK$2-FS!$D$2)/365))&lt;=0,K14,J14)</f>
        <v>-2.9448242187500057E-2</v>
      </c>
      <c r="K15">
        <f t="shared" si="2"/>
        <v>-3.2131347656250059E-2</v>
      </c>
      <c r="L15" s="8">
        <f t="shared" si="3"/>
        <v>-3.2131347656250059E-2</v>
      </c>
    </row>
    <row r="16" spans="1:13" x14ac:dyDescent="0.25">
      <c r="A16">
        <v>13</v>
      </c>
      <c r="B16">
        <f>IF(SUMPRODUCT(FS!$D$32:$BK$32/(1+B15)^((FS!$D$2:$BK$2-FS!$D$2)/365))*SUMPRODUCT(FS!$D$32:$BK$32/(1+D15)^((FS!$D$2:$BK$2-FS!$D$2)/365))&lt;=0,B15,D15)</f>
        <v>-4.0180664062500052E-2</v>
      </c>
      <c r="C16">
        <f>IF(SUMPRODUCT(FS!$D$32:$BK$32/(1+B15)^((FS!$D$2:$BK$2-FS!$D$2)/365))*SUMPRODUCT(FS!$D$32:$BK$32/(1+D15)^((FS!$D$2:$BK$2-FS!$D$2)/365))&lt;=0,D15,C15)</f>
        <v>-3.7497558593750049E-2</v>
      </c>
      <c r="D16">
        <f t="shared" si="0"/>
        <v>-3.8839111328125051E-2</v>
      </c>
      <c r="E16">
        <f>SUMPRODUCT(FS!$D$32:$BK$32/(1+D16)^((FS!$D$2:$BK$2-FS!$D$2)/365))</f>
        <v>1772617560.0994263</v>
      </c>
      <c r="F16" s="8">
        <f t="shared" si="1"/>
        <v>-3.8839111328125051E-2</v>
      </c>
      <c r="G16">
        <f>SUMPRODUCT(FS!$D$27:$BK$27/(1+K16)^((FS!$D$2:$BK$2-FS!$D$2)/365))</f>
        <v>1056254557.3878784</v>
      </c>
      <c r="H16">
        <v>13</v>
      </c>
      <c r="I16">
        <f>IF(SUMPRODUCT(FS!$D$27:$BK$27/(1+I15)^((FS!$D$2:$BK$2-FS!$D$2)/365))*SUMPRODUCT(FS!$D$27:$BK$27/(1+K15)^((FS!$D$2:$BK$2-FS!$D$2)/365))&lt;=0,I15,K15)</f>
        <v>-3.2131347656250059E-2</v>
      </c>
      <c r="J16">
        <f>IF(SUMPRODUCT(FS!$D$27:$BK$27/(1+I15)^((FS!$D$2:$BK$2-FS!$D$2)/365))*SUMPRODUCT(FS!$D$27:$BK$27/(1+K15)^((FS!$D$2:$BK$2-FS!$D$2)/365))&lt;=0,K15,J15)</f>
        <v>-2.9448242187500057E-2</v>
      </c>
      <c r="K16">
        <f t="shared" si="2"/>
        <v>-3.0789794921875058E-2</v>
      </c>
      <c r="L16" s="8">
        <f t="shared" si="3"/>
        <v>-3.0789794921875058E-2</v>
      </c>
    </row>
    <row r="17" spans="1:12" x14ac:dyDescent="0.25">
      <c r="A17">
        <v>14</v>
      </c>
      <c r="B17">
        <f>IF(SUMPRODUCT(FS!$D$32:$BK$32/(1+B16)^((FS!$D$2:$BK$2-FS!$D$2)/365))*SUMPRODUCT(FS!$D$32:$BK$32/(1+D16)^((FS!$D$2:$BK$2-FS!$D$2)/365))&lt;=0,B16,D16)</f>
        <v>-3.8839111328125051E-2</v>
      </c>
      <c r="C17">
        <f>IF(SUMPRODUCT(FS!$D$32:$BK$32/(1+B16)^((FS!$D$2:$BK$2-FS!$D$2)/365))*SUMPRODUCT(FS!$D$32:$BK$32/(1+D16)^((FS!$D$2:$BK$2-FS!$D$2)/365))&lt;=0,D16,C16)</f>
        <v>-3.7497558593750049E-2</v>
      </c>
      <c r="D17">
        <f t="shared" si="0"/>
        <v>-3.816833496093755E-2</v>
      </c>
      <c r="E17">
        <f>SUMPRODUCT(FS!$D$32:$BK$32/(1+D17)^((FS!$D$2:$BK$2-FS!$D$2)/365))</f>
        <v>776356105.29083252</v>
      </c>
      <c r="F17" s="8">
        <f t="shared" si="1"/>
        <v>-3.816833496093755E-2</v>
      </c>
      <c r="G17">
        <f>SUMPRODUCT(FS!$D$27:$BK$27/(1+K17)^((FS!$D$2:$BK$2-FS!$D$2)/365))</f>
        <v>-159326536.61938477</v>
      </c>
      <c r="H17">
        <v>14</v>
      </c>
      <c r="I17">
        <f>IF(SUMPRODUCT(FS!$D$27:$BK$27/(1+I16)^((FS!$D$2:$BK$2-FS!$D$2)/365))*SUMPRODUCT(FS!$D$27:$BK$27/(1+K16)^((FS!$D$2:$BK$2-FS!$D$2)/365))&lt;=0,I16,K16)</f>
        <v>-3.0789794921875058E-2</v>
      </c>
      <c r="J17">
        <f>IF(SUMPRODUCT(FS!$D$27:$BK$27/(1+I16)^((FS!$D$2:$BK$2-FS!$D$2)/365))*SUMPRODUCT(FS!$D$27:$BK$27/(1+K16)^((FS!$D$2:$BK$2-FS!$D$2)/365))&lt;=0,K16,J16)</f>
        <v>-2.9448242187500057E-2</v>
      </c>
      <c r="K17">
        <f t="shared" si="2"/>
        <v>-3.0119018554687557E-2</v>
      </c>
      <c r="L17" s="8">
        <f t="shared" si="3"/>
        <v>-3.0119018554687557E-2</v>
      </c>
    </row>
    <row r="18" spans="1:12" x14ac:dyDescent="0.25">
      <c r="A18">
        <v>15</v>
      </c>
      <c r="B18">
        <f>IF(SUMPRODUCT(FS!$D$32:$BK$32/(1+B17)^((FS!$D$2:$BK$2-FS!$D$2)/365))*SUMPRODUCT(FS!$D$32:$BK$32/(1+D17)^((FS!$D$2:$BK$2-FS!$D$2)/365))&lt;=0,B17,D17)</f>
        <v>-3.816833496093755E-2</v>
      </c>
      <c r="C18">
        <f>IF(SUMPRODUCT(FS!$D$32:$BK$32/(1+B17)^((FS!$D$2:$BK$2-FS!$D$2)/365))*SUMPRODUCT(FS!$D$32:$BK$32/(1+D17)^((FS!$D$2:$BK$2-FS!$D$2)/365))&lt;=0,D17,C17)</f>
        <v>-3.7497558593750049E-2</v>
      </c>
      <c r="D18">
        <f t="shared" si="0"/>
        <v>-3.78329467773438E-2</v>
      </c>
      <c r="E18">
        <f>SUMPRODUCT(FS!$D$32:$BK$32/(1+D18)^((FS!$D$2:$BK$2-FS!$D$2)/365))</f>
        <v>279590974.94903564</v>
      </c>
      <c r="F18" s="8">
        <f t="shared" si="1"/>
        <v>-3.78329467773438E-2</v>
      </c>
      <c r="G18">
        <f>SUMPRODUCT(FS!$D$27:$BK$27/(1+K18)^((FS!$D$2:$BK$2-FS!$D$2)/365))</f>
        <v>447898183.86993408</v>
      </c>
      <c r="H18">
        <v>15</v>
      </c>
      <c r="I18">
        <f>IF(SUMPRODUCT(FS!$D$27:$BK$27/(1+I17)^((FS!$D$2:$BK$2-FS!$D$2)/365))*SUMPRODUCT(FS!$D$27:$BK$27/(1+K17)^((FS!$D$2:$BK$2-FS!$D$2)/365))&lt;=0,I17,K17)</f>
        <v>-3.0789794921875058E-2</v>
      </c>
      <c r="J18">
        <f>IF(SUMPRODUCT(FS!$D$27:$BK$27/(1+I17)^((FS!$D$2:$BK$2-FS!$D$2)/365))*SUMPRODUCT(FS!$D$27:$BK$27/(1+K17)^((FS!$D$2:$BK$2-FS!$D$2)/365))&lt;=0,K17,J17)</f>
        <v>-3.0119018554687557E-2</v>
      </c>
      <c r="K18">
        <f t="shared" si="2"/>
        <v>-3.0454406738281307E-2</v>
      </c>
      <c r="L18" s="8">
        <f t="shared" si="3"/>
        <v>-3.0454406738281307E-2</v>
      </c>
    </row>
    <row r="19" spans="1:12" x14ac:dyDescent="0.25">
      <c r="A19">
        <v>16</v>
      </c>
      <c r="B19">
        <f>IF(SUMPRODUCT(FS!$D$32:$BK$32/(1+B18)^((FS!$D$2:$BK$2-FS!$D$2)/365))*SUMPRODUCT(FS!$D$32:$BK$32/(1+D18)^((FS!$D$2:$BK$2-FS!$D$2)/365))&lt;=0,B18,D18)</f>
        <v>-3.78329467773438E-2</v>
      </c>
      <c r="C19">
        <f>IF(SUMPRODUCT(FS!$D$32:$BK$32/(1+B18)^((FS!$D$2:$BK$2-FS!$D$2)/365))*SUMPRODUCT(FS!$D$32:$BK$32/(1+D18)^((FS!$D$2:$BK$2-FS!$D$2)/365))&lt;=0,D18,C18)</f>
        <v>-3.7497558593750049E-2</v>
      </c>
      <c r="D19">
        <f t="shared" si="0"/>
        <v>-3.7665252685546921E-2</v>
      </c>
      <c r="E19">
        <f>SUMPRODUCT(FS!$D$32:$BK$32/(1+D19)^((FS!$D$2:$BK$2-FS!$D$2)/365))</f>
        <v>31548981.735046387</v>
      </c>
      <c r="F19" s="8">
        <f t="shared" si="1"/>
        <v>-3.7665252685546921E-2</v>
      </c>
      <c r="G19">
        <f>SUMPRODUCT(FS!$D$27:$BK$27/(1+K19)^((FS!$D$2:$BK$2-FS!$D$2)/365))</f>
        <v>144144512.79852295</v>
      </c>
      <c r="H19">
        <v>16</v>
      </c>
      <c r="I19">
        <f>IF(SUMPRODUCT(FS!$D$27:$BK$27/(1+I18)^((FS!$D$2:$BK$2-FS!$D$2)/365))*SUMPRODUCT(FS!$D$27:$BK$27/(1+K18)^((FS!$D$2:$BK$2-FS!$D$2)/365))&lt;=0,I18,K18)</f>
        <v>-3.0454406738281307E-2</v>
      </c>
      <c r="J19">
        <f>IF(SUMPRODUCT(FS!$D$27:$BK$27/(1+I18)^((FS!$D$2:$BK$2-FS!$D$2)/365))*SUMPRODUCT(FS!$D$27:$BK$27/(1+K18)^((FS!$D$2:$BK$2-FS!$D$2)/365))&lt;=0,K18,J18)</f>
        <v>-3.0119018554687557E-2</v>
      </c>
      <c r="K19">
        <f t="shared" si="2"/>
        <v>-3.0286712646484432E-2</v>
      </c>
      <c r="L19" s="8">
        <f t="shared" si="3"/>
        <v>-3.0286712646484432E-2</v>
      </c>
    </row>
    <row r="20" spans="1:12" x14ac:dyDescent="0.25">
      <c r="A20">
        <v>17</v>
      </c>
      <c r="B20">
        <f>IF(SUMPRODUCT(FS!$D$32:$BK$32/(1+B19)^((FS!$D$2:$BK$2-FS!$D$2)/365))*SUMPRODUCT(FS!$D$32:$BK$32/(1+D19)^((FS!$D$2:$BK$2-FS!$D$2)/365))&lt;=0,B19,D19)</f>
        <v>-3.7665252685546921E-2</v>
      </c>
      <c r="C20">
        <f>IF(SUMPRODUCT(FS!$D$32:$BK$32/(1+B19)^((FS!$D$2:$BK$2-FS!$D$2)/365))*SUMPRODUCT(FS!$D$32:$BK$32/(1+D19)^((FS!$D$2:$BK$2-FS!$D$2)/365))&lt;=0,D19,C19)</f>
        <v>-3.7497558593750049E-2</v>
      </c>
      <c r="D20">
        <f t="shared" si="0"/>
        <v>-3.7581405639648485E-2</v>
      </c>
      <c r="E20">
        <f>SUMPRODUCT(FS!$D$32:$BK$32/(1+D20)^((FS!$D$2:$BK$2-FS!$D$2)/365))</f>
        <v>-92386975.063476563</v>
      </c>
      <c r="F20" s="8">
        <f t="shared" si="1"/>
        <v>-3.7581405639648485E-2</v>
      </c>
      <c r="G20">
        <f>SUMPRODUCT(FS!$D$27:$BK$27/(1+K20)^((FS!$D$2:$BK$2-FS!$D$2)/365))</f>
        <v>-7626321.4110717773</v>
      </c>
      <c r="H20">
        <v>17</v>
      </c>
      <c r="I20">
        <f>IF(SUMPRODUCT(FS!$D$27:$BK$27/(1+I19)^((FS!$D$2:$BK$2-FS!$D$2)/365))*SUMPRODUCT(FS!$D$27:$BK$27/(1+K19)^((FS!$D$2:$BK$2-FS!$D$2)/365))&lt;=0,I19,K19)</f>
        <v>-3.0286712646484432E-2</v>
      </c>
      <c r="J20">
        <f>IF(SUMPRODUCT(FS!$D$27:$BK$27/(1+I19)^((FS!$D$2:$BK$2-FS!$D$2)/365))*SUMPRODUCT(FS!$D$27:$BK$27/(1+K19)^((FS!$D$2:$BK$2-FS!$D$2)/365))&lt;=0,K19,J19)</f>
        <v>-3.0119018554687557E-2</v>
      </c>
      <c r="K20">
        <f t="shared" si="2"/>
        <v>-3.0202865600585993E-2</v>
      </c>
      <c r="L20" s="8">
        <f t="shared" si="3"/>
        <v>-3.0202865600585993E-2</v>
      </c>
    </row>
    <row r="21" spans="1:12" x14ac:dyDescent="0.25">
      <c r="A21">
        <v>18</v>
      </c>
      <c r="B21">
        <f>IF(SUMPRODUCT(FS!$D$32:$BK$32/(1+B20)^((FS!$D$2:$BK$2-FS!$D$2)/365))*SUMPRODUCT(FS!$D$32:$BK$32/(1+D20)^((FS!$D$2:$BK$2-FS!$D$2)/365))&lt;=0,B20,D20)</f>
        <v>-3.7665252685546921E-2</v>
      </c>
      <c r="C21">
        <f>IF(SUMPRODUCT(FS!$D$32:$BK$32/(1+B20)^((FS!$D$2:$BK$2-FS!$D$2)/365))*SUMPRODUCT(FS!$D$32:$BK$32/(1+D20)^((FS!$D$2:$BK$2-FS!$D$2)/365))&lt;=0,D20,C20)</f>
        <v>-3.7581405639648485E-2</v>
      </c>
      <c r="D21">
        <f t="shared" si="0"/>
        <v>-3.7623329162597703E-2</v>
      </c>
      <c r="E21">
        <f>SUMPRODUCT(FS!$D$32:$BK$32/(1+D21)^((FS!$D$2:$BK$2-FS!$D$2)/365))</f>
        <v>-30426080.247009277</v>
      </c>
      <c r="F21" s="8">
        <f t="shared" si="1"/>
        <v>-3.7623329162597703E-2</v>
      </c>
      <c r="G21">
        <f>SUMPRODUCT(FS!$D$27:$BK$27/(1+K21)^((FS!$D$2:$BK$2-FS!$D$2)/365))</f>
        <v>68250266.043762207</v>
      </c>
      <c r="H21">
        <v>18</v>
      </c>
      <c r="I21">
        <f>IF(SUMPRODUCT(FS!$D$27:$BK$27/(1+I20)^((FS!$D$2:$BK$2-FS!$D$2)/365))*SUMPRODUCT(FS!$D$27:$BK$27/(1+K20)^((FS!$D$2:$BK$2-FS!$D$2)/365))&lt;=0,I20,K20)</f>
        <v>-3.0286712646484432E-2</v>
      </c>
      <c r="J21">
        <f>IF(SUMPRODUCT(FS!$D$27:$BK$27/(1+I20)^((FS!$D$2:$BK$2-FS!$D$2)/365))*SUMPRODUCT(FS!$D$27:$BK$27/(1+K20)^((FS!$D$2:$BK$2-FS!$D$2)/365))&lt;=0,K20,J20)</f>
        <v>-3.0202865600585993E-2</v>
      </c>
      <c r="K21">
        <f t="shared" si="2"/>
        <v>-3.0244789123535211E-2</v>
      </c>
      <c r="L21" s="8">
        <f t="shared" si="3"/>
        <v>-3.0244789123535211E-2</v>
      </c>
    </row>
    <row r="22" spans="1:12" x14ac:dyDescent="0.25">
      <c r="A22">
        <v>19</v>
      </c>
      <c r="B22">
        <f>IF(SUMPRODUCT(FS!$D$32:$BK$32/(1+B21)^((FS!$D$2:$BK$2-FS!$D$2)/365))*SUMPRODUCT(FS!$D$32:$BK$32/(1+D21)^((FS!$D$2:$BK$2-FS!$D$2)/365))&lt;=0,B21,D21)</f>
        <v>-3.7665252685546921E-2</v>
      </c>
      <c r="C22">
        <f>IF(SUMPRODUCT(FS!$D$32:$BK$32/(1+B21)^((FS!$D$2:$BK$2-FS!$D$2)/365))*SUMPRODUCT(FS!$D$32:$BK$32/(1+D21)^((FS!$D$2:$BK$2-FS!$D$2)/365))&lt;=0,D21,C21)</f>
        <v>-3.7623329162597703E-2</v>
      </c>
      <c r="D22">
        <f t="shared" si="0"/>
        <v>-3.7644290924072316E-2</v>
      </c>
      <c r="E22">
        <f>SUMPRODUCT(FS!$D$32:$BK$32/(1+D22)^((FS!$D$2:$BK$2-FS!$D$2)/365))</f>
        <v>559679.61828613281</v>
      </c>
      <c r="F22" s="8">
        <f t="shared" si="1"/>
        <v>-3.7644290924072316E-2</v>
      </c>
      <c r="G22">
        <f>SUMPRODUCT(FS!$D$27:$BK$27/(1+K22)^((FS!$D$2:$BK$2-FS!$D$2)/365))</f>
        <v>30309765.188415527</v>
      </c>
      <c r="H22">
        <v>19</v>
      </c>
      <c r="I22">
        <f>IF(SUMPRODUCT(FS!$D$27:$BK$27/(1+I21)^((FS!$D$2:$BK$2-FS!$D$2)/365))*SUMPRODUCT(FS!$D$27:$BK$27/(1+K21)^((FS!$D$2:$BK$2-FS!$D$2)/365))&lt;=0,I21,K21)</f>
        <v>-3.0244789123535211E-2</v>
      </c>
      <c r="J22">
        <f>IF(SUMPRODUCT(FS!$D$27:$BK$27/(1+I21)^((FS!$D$2:$BK$2-FS!$D$2)/365))*SUMPRODUCT(FS!$D$27:$BK$27/(1+K21)^((FS!$D$2:$BK$2-FS!$D$2)/365))&lt;=0,K21,J21)</f>
        <v>-3.0202865600585993E-2</v>
      </c>
      <c r="K22">
        <f t="shared" si="2"/>
        <v>-3.0223827362060602E-2</v>
      </c>
      <c r="L22" s="8">
        <f t="shared" si="3"/>
        <v>-3.0223827362060602E-2</v>
      </c>
    </row>
    <row r="23" spans="1:12" x14ac:dyDescent="0.25">
      <c r="A23">
        <v>20</v>
      </c>
      <c r="B23">
        <f>IF(SUMPRODUCT(FS!$D$32:$BK$32/(1+B22)^((FS!$D$2:$BK$2-FS!$D$2)/365))*SUMPRODUCT(FS!$D$32:$BK$32/(1+D22)^((FS!$D$2:$BK$2-FS!$D$2)/365))&lt;=0,B22,D22)</f>
        <v>-3.7644290924072316E-2</v>
      </c>
      <c r="C23">
        <f>IF(SUMPRODUCT(FS!$D$32:$BK$32/(1+B22)^((FS!$D$2:$BK$2-FS!$D$2)/365))*SUMPRODUCT(FS!$D$32:$BK$32/(1+D22)^((FS!$D$2:$BK$2-FS!$D$2)/365))&lt;=0,D22,C22)</f>
        <v>-3.7623329162597703E-2</v>
      </c>
      <c r="D23">
        <f t="shared" si="0"/>
        <v>-3.7633810043335006E-2</v>
      </c>
      <c r="E23">
        <f>SUMPRODUCT(FS!$D$32:$BK$32/(1+D23)^((FS!$D$2:$BK$2-FS!$D$2)/365))</f>
        <v>-14933643.067016602</v>
      </c>
      <c r="F23" s="8">
        <f t="shared" si="1"/>
        <v>-3.7633810043335006E-2</v>
      </c>
      <c r="G23">
        <f>SUMPRODUCT(FS!$D$27:$BK$27/(1+K23)^((FS!$D$2:$BK$2-FS!$D$2)/365))</f>
        <v>11341170.142211914</v>
      </c>
      <c r="H23">
        <v>20</v>
      </c>
      <c r="I23">
        <f>IF(SUMPRODUCT(FS!$D$27:$BK$27/(1+I22)^((FS!$D$2:$BK$2-FS!$D$2)/365))*SUMPRODUCT(FS!$D$27:$BK$27/(1+K22)^((FS!$D$2:$BK$2-FS!$D$2)/365))&lt;=0,I22,K22)</f>
        <v>-3.0223827362060602E-2</v>
      </c>
      <c r="J23">
        <f>IF(SUMPRODUCT(FS!$D$27:$BK$27/(1+I22)^((FS!$D$2:$BK$2-FS!$D$2)/365))*SUMPRODUCT(FS!$D$27:$BK$27/(1+K22)^((FS!$D$2:$BK$2-FS!$D$2)/365))&lt;=0,K22,J22)</f>
        <v>-3.0202865600585993E-2</v>
      </c>
      <c r="K23">
        <f t="shared" si="2"/>
        <v>-3.0213346481323296E-2</v>
      </c>
      <c r="L23" s="8">
        <f t="shared" si="3"/>
        <v>-3.0213346481323296E-2</v>
      </c>
    </row>
    <row r="24" spans="1:12" x14ac:dyDescent="0.25">
      <c r="A24">
        <v>21</v>
      </c>
      <c r="B24">
        <f>IF(SUMPRODUCT(FS!$D$32:$BK$32/(1+B23)^((FS!$D$2:$BK$2-FS!$D$2)/365))*SUMPRODUCT(FS!$D$32:$BK$32/(1+D23)^((FS!$D$2:$BK$2-FS!$D$2)/365))&lt;=0,B23,D23)</f>
        <v>-3.7644290924072316E-2</v>
      </c>
      <c r="C24">
        <f>IF(SUMPRODUCT(FS!$D$32:$BK$32/(1+B23)^((FS!$D$2:$BK$2-FS!$D$2)/365))*SUMPRODUCT(FS!$D$32:$BK$32/(1+D23)^((FS!$D$2:$BK$2-FS!$D$2)/365))&lt;=0,D23,C23)</f>
        <v>-3.7633810043335006E-2</v>
      </c>
      <c r="D24">
        <f t="shared" si="0"/>
        <v>-3.7639050483703661E-2</v>
      </c>
      <c r="E24">
        <f>SUMPRODUCT(FS!$D$32:$BK$32/(1+D24)^((FS!$D$2:$BK$2-FS!$D$2)/365))</f>
        <v>-7187092.4161376953</v>
      </c>
      <c r="F24" s="8">
        <f t="shared" si="1"/>
        <v>-3.7639050483703661E-2</v>
      </c>
      <c r="G24">
        <f>SUMPRODUCT(FS!$D$27:$BK$27/(1+K24)^((FS!$D$2:$BK$2-FS!$D$2)/365))</f>
        <v>1857286.4334106445</v>
      </c>
      <c r="H24">
        <v>21</v>
      </c>
      <c r="I24">
        <f>IF(SUMPRODUCT(FS!$D$27:$BK$27/(1+I23)^((FS!$D$2:$BK$2-FS!$D$2)/365))*SUMPRODUCT(FS!$D$27:$BK$27/(1+K23)^((FS!$D$2:$BK$2-FS!$D$2)/365))&lt;=0,I23,K23)</f>
        <v>-3.0213346481323296E-2</v>
      </c>
      <c r="J24">
        <f>IF(SUMPRODUCT(FS!$D$27:$BK$27/(1+I23)^((FS!$D$2:$BK$2-FS!$D$2)/365))*SUMPRODUCT(FS!$D$27:$BK$27/(1+K23)^((FS!$D$2:$BK$2-FS!$D$2)/365))&lt;=0,K23,J23)</f>
        <v>-3.0202865600585993E-2</v>
      </c>
      <c r="K24">
        <f t="shared" si="2"/>
        <v>-3.0208106040954644E-2</v>
      </c>
      <c r="L24" s="8">
        <f t="shared" si="3"/>
        <v>-3.0208106040954644E-2</v>
      </c>
    </row>
    <row r="25" spans="1:12" x14ac:dyDescent="0.25">
      <c r="A25">
        <v>22</v>
      </c>
      <c r="B25">
        <f>IF(SUMPRODUCT(FS!$D$32:$BK$32/(1+B24)^((FS!$D$2:$BK$2-FS!$D$2)/365))*SUMPRODUCT(FS!$D$32:$BK$32/(1+D24)^((FS!$D$2:$BK$2-FS!$D$2)/365))&lt;=0,B24,D24)</f>
        <v>-3.7644290924072316E-2</v>
      </c>
      <c r="C25">
        <f>IF(SUMPRODUCT(FS!$D$32:$BK$32/(1+B24)^((FS!$D$2:$BK$2-FS!$D$2)/365))*SUMPRODUCT(FS!$D$32:$BK$32/(1+D24)^((FS!$D$2:$BK$2-FS!$D$2)/365))&lt;=0,D24,C24)</f>
        <v>-3.7639050483703661E-2</v>
      </c>
      <c r="D25">
        <f t="shared" si="0"/>
        <v>-3.7641670703887992E-2</v>
      </c>
      <c r="E25">
        <f>SUMPRODUCT(FS!$D$32:$BK$32/(1+D25)^((FS!$D$2:$BK$2-FS!$D$2)/365))</f>
        <v>-3313734.0722045898</v>
      </c>
      <c r="F25" s="8">
        <f t="shared" si="1"/>
        <v>-3.7641670703887992E-2</v>
      </c>
      <c r="G25">
        <f>SUMPRODUCT(FS!$D$27:$BK$27/(1+K25)^((FS!$D$2:$BK$2-FS!$D$2)/365))</f>
        <v>-2884551.9713134766</v>
      </c>
      <c r="H25">
        <v>22</v>
      </c>
      <c r="I25">
        <f>IF(SUMPRODUCT(FS!$D$27:$BK$27/(1+I24)^((FS!$D$2:$BK$2-FS!$D$2)/365))*SUMPRODUCT(FS!$D$27:$BK$27/(1+K24)^((FS!$D$2:$BK$2-FS!$D$2)/365))&lt;=0,I24,K24)</f>
        <v>-3.0208106040954644E-2</v>
      </c>
      <c r="J25">
        <f>IF(SUMPRODUCT(FS!$D$27:$BK$27/(1+I24)^((FS!$D$2:$BK$2-FS!$D$2)/365))*SUMPRODUCT(FS!$D$27:$BK$27/(1+K24)^((FS!$D$2:$BK$2-FS!$D$2)/365))&lt;=0,K24,J24)</f>
        <v>-3.0202865600585993E-2</v>
      </c>
      <c r="K25">
        <f t="shared" si="2"/>
        <v>-3.0205485820770317E-2</v>
      </c>
      <c r="L25" s="8">
        <f t="shared" si="3"/>
        <v>-3.0205485820770317E-2</v>
      </c>
    </row>
    <row r="26" spans="1:12" x14ac:dyDescent="0.25">
      <c r="A26">
        <v>23</v>
      </c>
      <c r="B26">
        <f>IF(SUMPRODUCT(FS!$D$32:$BK$32/(1+B25)^((FS!$D$2:$BK$2-FS!$D$2)/365))*SUMPRODUCT(FS!$D$32:$BK$32/(1+D25)^((FS!$D$2:$BK$2-FS!$D$2)/365))&lt;=0,B25,D25)</f>
        <v>-3.7644290924072316E-2</v>
      </c>
      <c r="C26">
        <f>IF(SUMPRODUCT(FS!$D$32:$BK$32/(1+B25)^((FS!$D$2:$BK$2-FS!$D$2)/365))*SUMPRODUCT(FS!$D$32:$BK$32/(1+D25)^((FS!$D$2:$BK$2-FS!$D$2)/365))&lt;=0,D25,C25)</f>
        <v>-3.7641670703887992E-2</v>
      </c>
      <c r="D26">
        <f t="shared" si="0"/>
        <v>-3.7642980813980154E-2</v>
      </c>
      <c r="E26">
        <f>SUMPRODUCT(FS!$D$32:$BK$32/(1+D26)^((FS!$D$2:$BK$2-FS!$D$2)/365))</f>
        <v>-1377034.1452026367</v>
      </c>
      <c r="F26" s="8">
        <f t="shared" si="1"/>
        <v>-3.7642980813980154E-2</v>
      </c>
      <c r="G26">
        <f>SUMPRODUCT(FS!$D$27:$BK$27/(1+K26)^((FS!$D$2:$BK$2-FS!$D$2)/365))</f>
        <v>-513641.38958740234</v>
      </c>
      <c r="H26">
        <v>23</v>
      </c>
      <c r="I26">
        <f>IF(SUMPRODUCT(FS!$D$27:$BK$27/(1+I25)^((FS!$D$2:$BK$2-FS!$D$2)/365))*SUMPRODUCT(FS!$D$27:$BK$27/(1+K25)^((FS!$D$2:$BK$2-FS!$D$2)/365))&lt;=0,I25,K25)</f>
        <v>-3.0208106040954644E-2</v>
      </c>
      <c r="J26">
        <f>IF(SUMPRODUCT(FS!$D$27:$BK$27/(1+I25)^((FS!$D$2:$BK$2-FS!$D$2)/365))*SUMPRODUCT(FS!$D$27:$BK$27/(1+K25)^((FS!$D$2:$BK$2-FS!$D$2)/365))&lt;=0,K25,J25)</f>
        <v>-3.0205485820770317E-2</v>
      </c>
      <c r="K26">
        <f t="shared" si="2"/>
        <v>-3.0206795930862479E-2</v>
      </c>
      <c r="L26" s="8">
        <f t="shared" si="3"/>
        <v>-3.0206795930862479E-2</v>
      </c>
    </row>
    <row r="27" spans="1:12" x14ac:dyDescent="0.25">
      <c r="A27">
        <v>24</v>
      </c>
      <c r="B27">
        <f>IF(SUMPRODUCT(FS!$D$32:$BK$32/(1+B26)^((FS!$D$2:$BK$2-FS!$D$2)/365))*SUMPRODUCT(FS!$D$32:$BK$32/(1+D26)^((FS!$D$2:$BK$2-FS!$D$2)/365))&lt;=0,B26,D26)</f>
        <v>-3.7644290924072316E-2</v>
      </c>
      <c r="C27">
        <f>IF(SUMPRODUCT(FS!$D$32:$BK$32/(1+B26)^((FS!$D$2:$BK$2-FS!$D$2)/365))*SUMPRODUCT(FS!$D$32:$BK$32/(1+D26)^((FS!$D$2:$BK$2-FS!$D$2)/365))&lt;=0,D26,C26)</f>
        <v>-3.7642980813980154E-2</v>
      </c>
      <c r="D27">
        <f t="shared" si="0"/>
        <v>-3.7643635869026235E-2</v>
      </c>
      <c r="E27">
        <f>SUMPRODUCT(FS!$D$32:$BK$32/(1+D27)^((FS!$D$2:$BK$2-FS!$D$2)/365))</f>
        <v>-408678.99322509766</v>
      </c>
      <c r="F27" s="8">
        <f t="shared" si="1"/>
        <v>-3.7643635869026235E-2</v>
      </c>
      <c r="G27">
        <f>SUMPRODUCT(FS!$D$27:$BK$27/(1+K27)^((FS!$D$2:$BK$2-FS!$D$2)/365))</f>
        <v>671820.36669921875</v>
      </c>
      <c r="H27">
        <v>24</v>
      </c>
      <c r="I27">
        <f>IF(SUMPRODUCT(FS!$D$27:$BK$27/(1+I26)^((FS!$D$2:$BK$2-FS!$D$2)/365))*SUMPRODUCT(FS!$D$27:$BK$27/(1+K26)^((FS!$D$2:$BK$2-FS!$D$2)/365))&lt;=0,I26,K26)</f>
        <v>-3.0208106040954644E-2</v>
      </c>
      <c r="J27">
        <f>IF(SUMPRODUCT(FS!$D$27:$BK$27/(1+I26)^((FS!$D$2:$BK$2-FS!$D$2)/365))*SUMPRODUCT(FS!$D$27:$BK$27/(1+K26)^((FS!$D$2:$BK$2-FS!$D$2)/365))&lt;=0,K26,J26)</f>
        <v>-3.0206795930862479E-2</v>
      </c>
      <c r="K27">
        <f t="shared" si="2"/>
        <v>-3.020745098590856E-2</v>
      </c>
      <c r="L27" s="8">
        <f t="shared" si="3"/>
        <v>-3.020745098590856E-2</v>
      </c>
    </row>
    <row r="28" spans="1:12" x14ac:dyDescent="0.25">
      <c r="A28">
        <v>25</v>
      </c>
      <c r="B28">
        <f>IF(SUMPRODUCT(FS!$D$32:$BK$32/(1+B27)^((FS!$D$2:$BK$2-FS!$D$2)/365))*SUMPRODUCT(FS!$D$32:$BK$32/(1+D27)^((FS!$D$2:$BK$2-FS!$D$2)/365))&lt;=0,B27,D27)</f>
        <v>-3.7644290924072316E-2</v>
      </c>
      <c r="C28">
        <f>IF(SUMPRODUCT(FS!$D$32:$BK$32/(1+B27)^((FS!$D$2:$BK$2-FS!$D$2)/365))*SUMPRODUCT(FS!$D$32:$BK$32/(1+D27)^((FS!$D$2:$BK$2-FS!$D$2)/365))&lt;=0,D27,C27)</f>
        <v>-3.7643635869026235E-2</v>
      </c>
      <c r="D28">
        <f t="shared" si="0"/>
        <v>-3.7643963396549275E-2</v>
      </c>
      <c r="E28">
        <f>SUMPRODUCT(FS!$D$32:$BK$32/(1+D28)^((FS!$D$2:$BK$2-FS!$D$2)/365))</f>
        <v>75499.880249023438</v>
      </c>
      <c r="F28" s="8">
        <f t="shared" si="1"/>
        <v>-3.7643963396549275E-2</v>
      </c>
      <c r="G28">
        <f>SUMPRODUCT(FS!$D$27:$BK$27/(1+K28)^((FS!$D$2:$BK$2-FS!$D$2)/365))</f>
        <v>79088.949829101563</v>
      </c>
      <c r="H28">
        <v>25</v>
      </c>
      <c r="I28">
        <f>IF(SUMPRODUCT(FS!$D$27:$BK$27/(1+I27)^((FS!$D$2:$BK$2-FS!$D$2)/365))*SUMPRODUCT(FS!$D$27:$BK$27/(1+K27)^((FS!$D$2:$BK$2-FS!$D$2)/365))&lt;=0,I27,K27)</f>
        <v>-3.020745098590856E-2</v>
      </c>
      <c r="J28">
        <f>IF(SUMPRODUCT(FS!$D$27:$BK$27/(1+I27)^((FS!$D$2:$BK$2-FS!$D$2)/365))*SUMPRODUCT(FS!$D$27:$BK$27/(1+K27)^((FS!$D$2:$BK$2-FS!$D$2)/365))&lt;=0,K27,J27)</f>
        <v>-3.0206795930862479E-2</v>
      </c>
      <c r="K28">
        <f t="shared" si="2"/>
        <v>-3.0207123458385519E-2</v>
      </c>
      <c r="L28" s="8">
        <f t="shared" si="3"/>
        <v>-3.0207123458385519E-2</v>
      </c>
    </row>
    <row r="29" spans="1:12" x14ac:dyDescent="0.25">
      <c r="A29">
        <v>26</v>
      </c>
      <c r="B29">
        <f>IF(SUMPRODUCT(FS!$D$32:$BK$32/(1+B28)^((FS!$D$2:$BK$2-FS!$D$2)/365))*SUMPRODUCT(FS!$D$32:$BK$32/(1+D28)^((FS!$D$2:$BK$2-FS!$D$2)/365))&lt;=0,B28,D28)</f>
        <v>-3.7643963396549275E-2</v>
      </c>
      <c r="C29">
        <f>IF(SUMPRODUCT(FS!$D$32:$BK$32/(1+B28)^((FS!$D$2:$BK$2-FS!$D$2)/365))*SUMPRODUCT(FS!$D$32:$BK$32/(1+D28)^((FS!$D$2:$BK$2-FS!$D$2)/365))&lt;=0,D28,C28)</f>
        <v>-3.7643635869026235E-2</v>
      </c>
      <c r="D29">
        <f t="shared" si="0"/>
        <v>-3.7643799632787758E-2</v>
      </c>
      <c r="E29">
        <f>SUMPRODUCT(FS!$D$32:$BK$32/(1+D29)^((FS!$D$2:$BK$2-FS!$D$2)/365))</f>
        <v>-166589.66461181641</v>
      </c>
      <c r="F29" s="8">
        <f t="shared" si="1"/>
        <v>-3.7643799632787758E-2</v>
      </c>
      <c r="G29">
        <f>SUMPRODUCT(FS!$D$27:$BK$27/(1+K29)^((FS!$D$2:$BK$2-FS!$D$2)/365))</f>
        <v>-217276.35467529297</v>
      </c>
      <c r="H29">
        <v>26</v>
      </c>
      <c r="I29">
        <f>IF(SUMPRODUCT(FS!$D$27:$BK$27/(1+I28)^((FS!$D$2:$BK$2-FS!$D$2)/365))*SUMPRODUCT(FS!$D$27:$BK$27/(1+K28)^((FS!$D$2:$BK$2-FS!$D$2)/365))&lt;=0,I28,K28)</f>
        <v>-3.0207123458385519E-2</v>
      </c>
      <c r="J29">
        <f>IF(SUMPRODUCT(FS!$D$27:$BK$27/(1+I28)^((FS!$D$2:$BK$2-FS!$D$2)/365))*SUMPRODUCT(FS!$D$27:$BK$27/(1+K28)^((FS!$D$2:$BK$2-FS!$D$2)/365))&lt;=0,K28,J28)</f>
        <v>-3.0206795930862479E-2</v>
      </c>
      <c r="K29">
        <f t="shared" si="2"/>
        <v>-3.0206959694623999E-2</v>
      </c>
      <c r="L29" s="8">
        <f t="shared" si="3"/>
        <v>-3.0206959694623999E-2</v>
      </c>
    </row>
    <row r="30" spans="1:12" x14ac:dyDescent="0.25">
      <c r="A30">
        <v>27</v>
      </c>
      <c r="B30">
        <f>IF(SUMPRODUCT(FS!$D$32:$BK$32/(1+B29)^((FS!$D$2:$BK$2-FS!$D$2)/365))*SUMPRODUCT(FS!$D$32:$BK$32/(1+D29)^((FS!$D$2:$BK$2-FS!$D$2)/365))&lt;=0,B29,D29)</f>
        <v>-3.7643963396549275E-2</v>
      </c>
      <c r="C30">
        <f>IF(SUMPRODUCT(FS!$D$32:$BK$32/(1+B29)^((FS!$D$2:$BK$2-FS!$D$2)/365))*SUMPRODUCT(FS!$D$32:$BK$32/(1+D29)^((FS!$D$2:$BK$2-FS!$D$2)/365))&lt;=0,D29,C29)</f>
        <v>-3.7643799632787758E-2</v>
      </c>
      <c r="D30">
        <f t="shared" si="0"/>
        <v>-3.764388151466852E-2</v>
      </c>
      <c r="E30">
        <f>SUMPRODUCT(FS!$D$32:$BK$32/(1+D30)^((FS!$D$2:$BK$2-FS!$D$2)/365))</f>
        <v>-45544.919311523438</v>
      </c>
      <c r="F30" s="8">
        <f t="shared" si="1"/>
        <v>-3.764388151466852E-2</v>
      </c>
      <c r="G30">
        <f>SUMPRODUCT(FS!$D$27:$BK$27/(1+K30)^((FS!$D$2:$BK$2-FS!$D$2)/365))</f>
        <v>-69093.735961914063</v>
      </c>
      <c r="H30">
        <v>27</v>
      </c>
      <c r="I30">
        <f>IF(SUMPRODUCT(FS!$D$27:$BK$27/(1+I29)^((FS!$D$2:$BK$2-FS!$D$2)/365))*SUMPRODUCT(FS!$D$27:$BK$27/(1+K29)^((FS!$D$2:$BK$2-FS!$D$2)/365))&lt;=0,I29,K29)</f>
        <v>-3.0207123458385519E-2</v>
      </c>
      <c r="J30">
        <f>IF(SUMPRODUCT(FS!$D$27:$BK$27/(1+I29)^((FS!$D$2:$BK$2-FS!$D$2)/365))*SUMPRODUCT(FS!$D$27:$BK$27/(1+K29)^((FS!$D$2:$BK$2-FS!$D$2)/365))&lt;=0,K29,J29)</f>
        <v>-3.0206959694623999E-2</v>
      </c>
      <c r="K30">
        <f t="shared" si="2"/>
        <v>-3.0207041576504758E-2</v>
      </c>
      <c r="L30" s="8">
        <f t="shared" si="3"/>
        <v>-3.0207041576504758E-2</v>
      </c>
    </row>
    <row r="31" spans="1:12" x14ac:dyDescent="0.25">
      <c r="A31">
        <v>28</v>
      </c>
      <c r="B31">
        <f>IF(SUMPRODUCT(FS!$D$32:$BK$32/(1+B30)^((FS!$D$2:$BK$2-FS!$D$2)/365))*SUMPRODUCT(FS!$D$32:$BK$32/(1+D30)^((FS!$D$2:$BK$2-FS!$D$2)/365))&lt;=0,B30,D30)</f>
        <v>-3.7643963396549275E-2</v>
      </c>
      <c r="C31">
        <f>IF(SUMPRODUCT(FS!$D$32:$BK$32/(1+B30)^((FS!$D$2:$BK$2-FS!$D$2)/365))*SUMPRODUCT(FS!$D$32:$BK$32/(1+D30)^((FS!$D$2:$BK$2-FS!$D$2)/365))&lt;=0,D30,C30)</f>
        <v>-3.764388151466852E-2</v>
      </c>
      <c r="D31">
        <f t="shared" si="0"/>
        <v>-3.7643922455608894E-2</v>
      </c>
      <c r="E31">
        <f>SUMPRODUCT(FS!$D$32:$BK$32/(1+D31)^((FS!$D$2:$BK$2-FS!$D$2)/365))</f>
        <v>14977.473693847656</v>
      </c>
      <c r="F31" s="8">
        <f t="shared" si="1"/>
        <v>-3.7643922455608894E-2</v>
      </c>
      <c r="G31">
        <f>SUMPRODUCT(FS!$D$27:$BK$27/(1+K31)^((FS!$D$2:$BK$2-FS!$D$2)/365))</f>
        <v>4997.5985717773438</v>
      </c>
      <c r="H31">
        <v>28</v>
      </c>
      <c r="I31">
        <f>IF(SUMPRODUCT(FS!$D$27:$BK$27/(1+I30)^((FS!$D$2:$BK$2-FS!$D$2)/365))*SUMPRODUCT(FS!$D$27:$BK$27/(1+K30)^((FS!$D$2:$BK$2-FS!$D$2)/365))&lt;=0,I30,K30)</f>
        <v>-3.0207123458385519E-2</v>
      </c>
      <c r="J31">
        <f>IF(SUMPRODUCT(FS!$D$27:$BK$27/(1+I30)^((FS!$D$2:$BK$2-FS!$D$2)/365))*SUMPRODUCT(FS!$D$27:$BK$27/(1+K30)^((FS!$D$2:$BK$2-FS!$D$2)/365))&lt;=0,K30,J30)</f>
        <v>-3.0207041576504758E-2</v>
      </c>
      <c r="K31">
        <f t="shared" si="2"/>
        <v>-3.0207082517445139E-2</v>
      </c>
      <c r="L31" s="8">
        <f t="shared" si="3"/>
        <v>-3.0207082517445139E-2</v>
      </c>
    </row>
    <row r="32" spans="1:12" x14ac:dyDescent="0.25">
      <c r="A32">
        <v>29</v>
      </c>
      <c r="B32">
        <f>IF(SUMPRODUCT(FS!$D$32:$BK$32/(1+B31)^((FS!$D$2:$BK$2-FS!$D$2)/365))*SUMPRODUCT(FS!$D$32:$BK$32/(1+D31)^((FS!$D$2:$BK$2-FS!$D$2)/365))&lt;=0,B31,D31)</f>
        <v>-3.7643922455608894E-2</v>
      </c>
      <c r="C32">
        <f>IF(SUMPRODUCT(FS!$D$32:$BK$32/(1+B31)^((FS!$D$2:$BK$2-FS!$D$2)/365))*SUMPRODUCT(FS!$D$32:$BK$32/(1+D31)^((FS!$D$2:$BK$2-FS!$D$2)/365))&lt;=0,D31,C31)</f>
        <v>-3.764388151466852E-2</v>
      </c>
      <c r="D32">
        <f t="shared" si="0"/>
        <v>-3.7643901985138707E-2</v>
      </c>
      <c r="E32">
        <f>SUMPRODUCT(FS!$D$32:$BK$32/(1+D32)^((FS!$D$2:$BK$2-FS!$D$2)/365))</f>
        <v>-15283.724487304688</v>
      </c>
      <c r="F32" s="8">
        <f t="shared" si="1"/>
        <v>-3.7643901985138707E-2</v>
      </c>
      <c r="G32">
        <f>SUMPRODUCT(FS!$D$27:$BK$27/(1+K32)^((FS!$D$2:$BK$2-FS!$D$2)/365))</f>
        <v>-32048.070922851563</v>
      </c>
      <c r="H32">
        <v>29</v>
      </c>
      <c r="I32">
        <f>IF(SUMPRODUCT(FS!$D$27:$BK$27/(1+I31)^((FS!$D$2:$BK$2-FS!$D$2)/365))*SUMPRODUCT(FS!$D$27:$BK$27/(1+K31)^((FS!$D$2:$BK$2-FS!$D$2)/365))&lt;=0,I31,K31)</f>
        <v>-3.0207082517445139E-2</v>
      </c>
      <c r="J32">
        <f>IF(SUMPRODUCT(FS!$D$27:$BK$27/(1+I31)^((FS!$D$2:$BK$2-FS!$D$2)/365))*SUMPRODUCT(FS!$D$27:$BK$27/(1+K31)^((FS!$D$2:$BK$2-FS!$D$2)/365))&lt;=0,K31,J31)</f>
        <v>-3.0207041576504758E-2</v>
      </c>
      <c r="K32">
        <f t="shared" si="2"/>
        <v>-3.0207062046974948E-2</v>
      </c>
      <c r="L32" s="8">
        <f t="shared" si="3"/>
        <v>-3.0207062046974948E-2</v>
      </c>
    </row>
    <row r="33" spans="1:12" x14ac:dyDescent="0.25">
      <c r="A33">
        <v>30</v>
      </c>
      <c r="B33">
        <f>IF(SUMPRODUCT(FS!$D$32:$BK$32/(1+B32)^((FS!$D$2:$BK$2-FS!$D$2)/365))*SUMPRODUCT(FS!$D$32:$BK$32/(1+D32)^((FS!$D$2:$BK$2-FS!$D$2)/365))&lt;=0,B32,D32)</f>
        <v>-3.7643922455608894E-2</v>
      </c>
      <c r="C33">
        <f>IF(SUMPRODUCT(FS!$D$32:$BK$32/(1+B32)^((FS!$D$2:$BK$2-FS!$D$2)/365))*SUMPRODUCT(FS!$D$32:$BK$32/(1+D32)^((FS!$D$2:$BK$2-FS!$D$2)/365))&lt;=0,D32,C32)</f>
        <v>-3.7643901985138707E-2</v>
      </c>
      <c r="D33">
        <f t="shared" si="0"/>
        <v>-3.7643912220373804E-2</v>
      </c>
      <c r="E33">
        <f>SUMPRODUCT(FS!$D$32:$BK$32/(1+D33)^((FS!$D$2:$BK$2-FS!$D$2)/365))</f>
        <v>-153.1258544921875</v>
      </c>
      <c r="F33" s="8">
        <f t="shared" si="1"/>
        <v>-3.7643912220373804E-2</v>
      </c>
      <c r="G33">
        <f>SUMPRODUCT(FS!$D$27:$BK$27/(1+K33)^((FS!$D$2:$BK$2-FS!$D$2)/365))</f>
        <v>-13525.236694335938</v>
      </c>
      <c r="H33">
        <v>30</v>
      </c>
      <c r="I33">
        <f>IF(SUMPRODUCT(FS!$D$27:$BK$27/(1+I32)^((FS!$D$2:$BK$2-FS!$D$2)/365))*SUMPRODUCT(FS!$D$27:$BK$27/(1+K32)^((FS!$D$2:$BK$2-FS!$D$2)/365))&lt;=0,I32,K32)</f>
        <v>-3.0207082517445139E-2</v>
      </c>
      <c r="J33">
        <f>IF(SUMPRODUCT(FS!$D$27:$BK$27/(1+I32)^((FS!$D$2:$BK$2-FS!$D$2)/365))*SUMPRODUCT(FS!$D$27:$BK$27/(1+K32)^((FS!$D$2:$BK$2-FS!$D$2)/365))&lt;=0,K32,J32)</f>
        <v>-3.0207062046974948E-2</v>
      </c>
      <c r="K33">
        <f t="shared" si="2"/>
        <v>-3.0207072282210042E-2</v>
      </c>
      <c r="L33" s="8">
        <f t="shared" si="3"/>
        <v>-3.0207072282210042E-2</v>
      </c>
    </row>
    <row r="34" spans="1:12" x14ac:dyDescent="0.25">
      <c r="A34">
        <v>31</v>
      </c>
      <c r="B34">
        <f>IF(SUMPRODUCT(FS!$D$32:$BK$32/(1+B33)^((FS!$D$2:$BK$2-FS!$D$2)/365))*SUMPRODUCT(FS!$D$32:$BK$32/(1+D33)^((FS!$D$2:$BK$2-FS!$D$2)/365))&lt;=0,B33,D33)</f>
        <v>-3.7643922455608894E-2</v>
      </c>
      <c r="C34">
        <f>IF(SUMPRODUCT(FS!$D$32:$BK$32/(1+B33)^((FS!$D$2:$BK$2-FS!$D$2)/365))*SUMPRODUCT(FS!$D$32:$BK$32/(1+D33)^((FS!$D$2:$BK$2-FS!$D$2)/365))&lt;=0,D33,C33)</f>
        <v>-3.7643912220373804E-2</v>
      </c>
      <c r="D34">
        <f t="shared" si="0"/>
        <v>-3.7643917337991349E-2</v>
      </c>
      <c r="E34">
        <f>SUMPRODUCT(FS!$D$32:$BK$32/(1+D34)^((FS!$D$2:$BK$2-FS!$D$2)/365))</f>
        <v>7412.1738891601563</v>
      </c>
      <c r="F34" s="8">
        <f t="shared" si="1"/>
        <v>-3.7643917337991349E-2</v>
      </c>
      <c r="G34">
        <f>SUMPRODUCT(FS!$D$27:$BK$27/(1+K34)^((FS!$D$2:$BK$2-FS!$D$2)/365))</f>
        <v>-4263.8192138671875</v>
      </c>
      <c r="H34">
        <v>31</v>
      </c>
      <c r="I34">
        <f>IF(SUMPRODUCT(FS!$D$27:$BK$27/(1+I33)^((FS!$D$2:$BK$2-FS!$D$2)/365))*SUMPRODUCT(FS!$D$27:$BK$27/(1+K33)^((FS!$D$2:$BK$2-FS!$D$2)/365))&lt;=0,I33,K33)</f>
        <v>-3.0207082517445139E-2</v>
      </c>
      <c r="J34">
        <f>IF(SUMPRODUCT(FS!$D$27:$BK$27/(1+I33)^((FS!$D$2:$BK$2-FS!$D$2)/365))*SUMPRODUCT(FS!$D$27:$BK$27/(1+K33)^((FS!$D$2:$BK$2-FS!$D$2)/365))&lt;=0,K33,J33)</f>
        <v>-3.0207072282210042E-2</v>
      </c>
      <c r="K34">
        <f t="shared" si="2"/>
        <v>-3.020707739982759E-2</v>
      </c>
      <c r="L34" s="8">
        <f t="shared" si="3"/>
        <v>-3.020707739982759E-2</v>
      </c>
    </row>
    <row r="35" spans="1:12" x14ac:dyDescent="0.25">
      <c r="A35">
        <v>32</v>
      </c>
      <c r="B35">
        <f>IF(SUMPRODUCT(FS!$D$32:$BK$32/(1+B34)^((FS!$D$2:$BK$2-FS!$D$2)/365))*SUMPRODUCT(FS!$D$32:$BK$32/(1+D34)^((FS!$D$2:$BK$2-FS!$D$2)/365))&lt;=0,B34,D34)</f>
        <v>-3.7643917337991349E-2</v>
      </c>
      <c r="C35">
        <f>IF(SUMPRODUCT(FS!$D$32:$BK$32/(1+B34)^((FS!$D$2:$BK$2-FS!$D$2)/365))*SUMPRODUCT(FS!$D$32:$BK$32/(1+D34)^((FS!$D$2:$BK$2-FS!$D$2)/365))&lt;=0,D34,C34)</f>
        <v>-3.7643912220373804E-2</v>
      </c>
      <c r="D35">
        <f t="shared" si="0"/>
        <v>-3.764391477918258E-2</v>
      </c>
      <c r="E35">
        <f>SUMPRODUCT(FS!$D$32:$BK$32/(1+D35)^((FS!$D$2:$BK$2-FS!$D$2)/365))</f>
        <v>3629.5241088867188</v>
      </c>
      <c r="F35" s="8">
        <f t="shared" si="1"/>
        <v>-3.764391477918258E-2</v>
      </c>
      <c r="G35">
        <f>SUMPRODUCT(FS!$D$27:$BK$27/(1+K35)^((FS!$D$2:$BK$2-FS!$D$2)/365))</f>
        <v>366.889404296875</v>
      </c>
      <c r="H35">
        <v>32</v>
      </c>
      <c r="I35">
        <f>IF(SUMPRODUCT(FS!$D$27:$BK$27/(1+I34)^((FS!$D$2:$BK$2-FS!$D$2)/365))*SUMPRODUCT(FS!$D$27:$BK$27/(1+K34)^((FS!$D$2:$BK$2-FS!$D$2)/365))&lt;=0,I34,K34)</f>
        <v>-3.0207082517445139E-2</v>
      </c>
      <c r="J35">
        <f>IF(SUMPRODUCT(FS!$D$27:$BK$27/(1+I34)^((FS!$D$2:$BK$2-FS!$D$2)/365))*SUMPRODUCT(FS!$D$27:$BK$27/(1+K34)^((FS!$D$2:$BK$2-FS!$D$2)/365))&lt;=0,K34,J34)</f>
        <v>-3.020707739982759E-2</v>
      </c>
      <c r="K35">
        <f t="shared" si="2"/>
        <v>-3.0207079958636363E-2</v>
      </c>
      <c r="L35" s="8">
        <f t="shared" si="3"/>
        <v>-3.0207079958636363E-2</v>
      </c>
    </row>
    <row r="36" spans="1:12" x14ac:dyDescent="0.25">
      <c r="A36">
        <v>33</v>
      </c>
      <c r="B36">
        <f>IF(SUMPRODUCT(FS!$D$32:$BK$32/(1+B35)^((FS!$D$2:$BK$2-FS!$D$2)/365))*SUMPRODUCT(FS!$D$32:$BK$32/(1+D35)^((FS!$D$2:$BK$2-FS!$D$2)/365))&lt;=0,B35,D35)</f>
        <v>-3.764391477918258E-2</v>
      </c>
      <c r="C36">
        <f>IF(SUMPRODUCT(FS!$D$32:$BK$32/(1+B35)^((FS!$D$2:$BK$2-FS!$D$2)/365))*SUMPRODUCT(FS!$D$32:$BK$32/(1+D35)^((FS!$D$2:$BK$2-FS!$D$2)/365))&lt;=0,D35,C35)</f>
        <v>-3.7643912220373804E-2</v>
      </c>
      <c r="D36">
        <f t="shared" ref="D36:D67" si="4">(B36+C36)/2</f>
        <v>-3.7643913499778192E-2</v>
      </c>
      <c r="E36">
        <f>SUMPRODUCT(FS!$D$32:$BK$32/(1+D36)^((FS!$D$2:$BK$2-FS!$D$2)/365))</f>
        <v>1738.1990356445313</v>
      </c>
      <c r="F36" s="8">
        <f t="shared" ref="F36:F67" si="5">D36</f>
        <v>-3.7643913499778192E-2</v>
      </c>
      <c r="G36">
        <f>SUMPRODUCT(FS!$D$27:$BK$27/(1+K36)^((FS!$D$2:$BK$2-FS!$D$2)/365))</f>
        <v>-1948.46484375</v>
      </c>
      <c r="H36">
        <v>33</v>
      </c>
      <c r="I36">
        <f>IF(SUMPRODUCT(FS!$D$27:$BK$27/(1+I35)^((FS!$D$2:$BK$2-FS!$D$2)/365))*SUMPRODUCT(FS!$D$27:$BK$27/(1+K35)^((FS!$D$2:$BK$2-FS!$D$2)/365))&lt;=0,I35,K35)</f>
        <v>-3.0207079958636363E-2</v>
      </c>
      <c r="J36">
        <f>IF(SUMPRODUCT(FS!$D$27:$BK$27/(1+I35)^((FS!$D$2:$BK$2-FS!$D$2)/365))*SUMPRODUCT(FS!$D$27:$BK$27/(1+K35)^((FS!$D$2:$BK$2-FS!$D$2)/365))&lt;=0,K35,J35)</f>
        <v>-3.020707739982759E-2</v>
      </c>
      <c r="K36">
        <f t="shared" ref="K36:K67" si="6">(I36+J36)/2</f>
        <v>-3.0207078679231975E-2</v>
      </c>
      <c r="L36" s="8">
        <f t="shared" ref="L36:L67" si="7">K36</f>
        <v>-3.0207078679231975E-2</v>
      </c>
    </row>
    <row r="37" spans="1:12" x14ac:dyDescent="0.25">
      <c r="A37">
        <v>34</v>
      </c>
      <c r="B37">
        <f>IF(SUMPRODUCT(FS!$D$32:$BK$32/(1+B36)^((FS!$D$2:$BK$2-FS!$D$2)/365))*SUMPRODUCT(FS!$D$32:$BK$32/(1+D36)^((FS!$D$2:$BK$2-FS!$D$2)/365))&lt;=0,B36,D36)</f>
        <v>-3.7643913499778192E-2</v>
      </c>
      <c r="C37">
        <f>IF(SUMPRODUCT(FS!$D$32:$BK$32/(1+B36)^((FS!$D$2:$BK$2-FS!$D$2)/365))*SUMPRODUCT(FS!$D$32:$BK$32/(1+D36)^((FS!$D$2:$BK$2-FS!$D$2)/365))&lt;=0,D36,C36)</f>
        <v>-3.7643912220373804E-2</v>
      </c>
      <c r="D37">
        <f t="shared" si="4"/>
        <v>-3.7643912860075998E-2</v>
      </c>
      <c r="E37">
        <f>SUMPRODUCT(FS!$D$32:$BK$32/(1+D37)^((FS!$D$2:$BK$2-FS!$D$2)/365))</f>
        <v>792.53656005859375</v>
      </c>
      <c r="F37" s="8">
        <f t="shared" si="5"/>
        <v>-3.7643912860075998E-2</v>
      </c>
      <c r="G37">
        <f>SUMPRODUCT(FS!$D$27:$BK$27/(1+K37)^((FS!$D$2:$BK$2-FS!$D$2)/365))</f>
        <v>-790.78753662109375</v>
      </c>
      <c r="H37">
        <v>34</v>
      </c>
      <c r="I37">
        <f>IF(SUMPRODUCT(FS!$D$27:$BK$27/(1+I36)^((FS!$D$2:$BK$2-FS!$D$2)/365))*SUMPRODUCT(FS!$D$27:$BK$27/(1+K36)^((FS!$D$2:$BK$2-FS!$D$2)/365))&lt;=0,I36,K36)</f>
        <v>-3.0207079958636363E-2</v>
      </c>
      <c r="J37">
        <f>IF(SUMPRODUCT(FS!$D$27:$BK$27/(1+I36)^((FS!$D$2:$BK$2-FS!$D$2)/365))*SUMPRODUCT(FS!$D$27:$BK$27/(1+K36)^((FS!$D$2:$BK$2-FS!$D$2)/365))&lt;=0,K36,J36)</f>
        <v>-3.0207078679231975E-2</v>
      </c>
      <c r="K37">
        <f t="shared" si="6"/>
        <v>-3.0207079318934169E-2</v>
      </c>
      <c r="L37" s="8">
        <f t="shared" si="7"/>
        <v>-3.0207079318934169E-2</v>
      </c>
    </row>
    <row r="38" spans="1:12" x14ac:dyDescent="0.25">
      <c r="A38">
        <v>35</v>
      </c>
      <c r="B38">
        <f>IF(SUMPRODUCT(FS!$D$32:$BK$32/(1+B37)^((FS!$D$2:$BK$2-FS!$D$2)/365))*SUMPRODUCT(FS!$D$32:$BK$32/(1+D37)^((FS!$D$2:$BK$2-FS!$D$2)/365))&lt;=0,B37,D37)</f>
        <v>-3.7643912860075998E-2</v>
      </c>
      <c r="C38">
        <f>IF(SUMPRODUCT(FS!$D$32:$BK$32/(1+B37)^((FS!$D$2:$BK$2-FS!$D$2)/365))*SUMPRODUCT(FS!$D$32:$BK$32/(1+D37)^((FS!$D$2:$BK$2-FS!$D$2)/365))&lt;=0,D37,C37)</f>
        <v>-3.7643912220373804E-2</v>
      </c>
      <c r="D38">
        <f t="shared" si="4"/>
        <v>-3.7643912540224901E-2</v>
      </c>
      <c r="E38">
        <f>SUMPRODUCT(FS!$D$32:$BK$32/(1+D38)^((FS!$D$2:$BK$2-FS!$D$2)/365))</f>
        <v>319.70556640625</v>
      </c>
      <c r="F38" s="8">
        <f t="shared" si="5"/>
        <v>-3.7643912540224901E-2</v>
      </c>
      <c r="G38">
        <f>SUMPRODUCT(FS!$D$27:$BK$27/(1+K38)^((FS!$D$2:$BK$2-FS!$D$2)/365))</f>
        <v>-211.9490966796875</v>
      </c>
      <c r="H38">
        <v>35</v>
      </c>
      <c r="I38">
        <f>IF(SUMPRODUCT(FS!$D$27:$BK$27/(1+I37)^((FS!$D$2:$BK$2-FS!$D$2)/365))*SUMPRODUCT(FS!$D$27:$BK$27/(1+K37)^((FS!$D$2:$BK$2-FS!$D$2)/365))&lt;=0,I37,K37)</f>
        <v>-3.0207079958636363E-2</v>
      </c>
      <c r="J38">
        <f>IF(SUMPRODUCT(FS!$D$27:$BK$27/(1+I37)^((FS!$D$2:$BK$2-FS!$D$2)/365))*SUMPRODUCT(FS!$D$27:$BK$27/(1+K37)^((FS!$D$2:$BK$2-FS!$D$2)/365))&lt;=0,K37,J37)</f>
        <v>-3.0207079318934169E-2</v>
      </c>
      <c r="K38">
        <f t="shared" si="6"/>
        <v>-3.0207079638785266E-2</v>
      </c>
      <c r="L38" s="8">
        <f t="shared" si="7"/>
        <v>-3.0207079638785266E-2</v>
      </c>
    </row>
    <row r="39" spans="1:12" x14ac:dyDescent="0.25">
      <c r="A39">
        <v>36</v>
      </c>
      <c r="B39">
        <f>IF(SUMPRODUCT(FS!$D$32:$BK$32/(1+B38)^((FS!$D$2:$BK$2-FS!$D$2)/365))*SUMPRODUCT(FS!$D$32:$BK$32/(1+D38)^((FS!$D$2:$BK$2-FS!$D$2)/365))&lt;=0,B38,D38)</f>
        <v>-3.7643912540224901E-2</v>
      </c>
      <c r="C39">
        <f>IF(SUMPRODUCT(FS!$D$32:$BK$32/(1+B38)^((FS!$D$2:$BK$2-FS!$D$2)/365))*SUMPRODUCT(FS!$D$32:$BK$32/(1+D38)^((FS!$D$2:$BK$2-FS!$D$2)/365))&lt;=0,D38,C38)</f>
        <v>-3.7643912220373804E-2</v>
      </c>
      <c r="D39">
        <f t="shared" si="4"/>
        <v>-3.7643912380299349E-2</v>
      </c>
      <c r="E39">
        <f>SUMPRODUCT(FS!$D$32:$BK$32/(1+D39)^((FS!$D$2:$BK$2-FS!$D$2)/365))</f>
        <v>83.28985595703125</v>
      </c>
      <c r="F39" s="8">
        <f t="shared" si="5"/>
        <v>-3.7643912380299349E-2</v>
      </c>
      <c r="G39">
        <f>SUMPRODUCT(FS!$D$27:$BK$27/(1+K39)^((FS!$D$2:$BK$2-FS!$D$2)/365))</f>
        <v>77.47021484375</v>
      </c>
      <c r="H39">
        <v>36</v>
      </c>
      <c r="I39">
        <f>IF(SUMPRODUCT(FS!$D$27:$BK$27/(1+I38)^((FS!$D$2:$BK$2-FS!$D$2)/365))*SUMPRODUCT(FS!$D$27:$BK$27/(1+K38)^((FS!$D$2:$BK$2-FS!$D$2)/365))&lt;=0,I38,K38)</f>
        <v>-3.0207079958636363E-2</v>
      </c>
      <c r="J39">
        <f>IF(SUMPRODUCT(FS!$D$27:$BK$27/(1+I38)^((FS!$D$2:$BK$2-FS!$D$2)/365))*SUMPRODUCT(FS!$D$27:$BK$27/(1+K38)^((FS!$D$2:$BK$2-FS!$D$2)/365))&lt;=0,K38,J38)</f>
        <v>-3.0207079638785266E-2</v>
      </c>
      <c r="K39">
        <f t="shared" si="6"/>
        <v>-3.0207079798710814E-2</v>
      </c>
      <c r="L39" s="8">
        <f t="shared" si="7"/>
        <v>-3.0207079798710814E-2</v>
      </c>
    </row>
    <row r="40" spans="1:12" x14ac:dyDescent="0.25">
      <c r="A40">
        <v>37</v>
      </c>
      <c r="B40">
        <f>IF(SUMPRODUCT(FS!$D$32:$BK$32/(1+B39)^((FS!$D$2:$BK$2-FS!$D$2)/365))*SUMPRODUCT(FS!$D$32:$BK$32/(1+D39)^((FS!$D$2:$BK$2-FS!$D$2)/365))&lt;=0,B39,D39)</f>
        <v>-3.7643912380299349E-2</v>
      </c>
      <c r="C40">
        <f>IF(SUMPRODUCT(FS!$D$32:$BK$32/(1+B39)^((FS!$D$2:$BK$2-FS!$D$2)/365))*SUMPRODUCT(FS!$D$32:$BK$32/(1+D39)^((FS!$D$2:$BK$2-FS!$D$2)/365))&lt;=0,D39,C39)</f>
        <v>-3.7643912220373804E-2</v>
      </c>
      <c r="D40">
        <f t="shared" si="4"/>
        <v>-3.7643912300336577E-2</v>
      </c>
      <c r="E40">
        <f>SUMPRODUCT(FS!$D$32:$BK$32/(1+D40)^((FS!$D$2:$BK$2-FS!$D$2)/365))</f>
        <v>-34.91790771484375</v>
      </c>
      <c r="F40" s="8">
        <f t="shared" si="5"/>
        <v>-3.7643912300336577E-2</v>
      </c>
      <c r="G40">
        <f>SUMPRODUCT(FS!$D$27:$BK$27/(1+K40)^((FS!$D$2:$BK$2-FS!$D$2)/365))</f>
        <v>-67.23944091796875</v>
      </c>
      <c r="H40">
        <v>37</v>
      </c>
      <c r="I40">
        <f>IF(SUMPRODUCT(FS!$D$27:$BK$27/(1+I39)^((FS!$D$2:$BK$2-FS!$D$2)/365))*SUMPRODUCT(FS!$D$27:$BK$27/(1+K39)^((FS!$D$2:$BK$2-FS!$D$2)/365))&lt;=0,I39,K39)</f>
        <v>-3.0207079798710814E-2</v>
      </c>
      <c r="J40">
        <f>IF(SUMPRODUCT(FS!$D$27:$BK$27/(1+I39)^((FS!$D$2:$BK$2-FS!$D$2)/365))*SUMPRODUCT(FS!$D$27:$BK$27/(1+K39)^((FS!$D$2:$BK$2-FS!$D$2)/365))&lt;=0,K39,J39)</f>
        <v>-3.0207079638785266E-2</v>
      </c>
      <c r="K40">
        <f t="shared" si="6"/>
        <v>-3.0207079718748038E-2</v>
      </c>
      <c r="L40" s="8">
        <f t="shared" si="7"/>
        <v>-3.0207079718748038E-2</v>
      </c>
    </row>
    <row r="41" spans="1:12" x14ac:dyDescent="0.25">
      <c r="A41">
        <v>38</v>
      </c>
      <c r="B41">
        <f>IF(SUMPRODUCT(FS!$D$32:$BK$32/(1+B40)^((FS!$D$2:$BK$2-FS!$D$2)/365))*SUMPRODUCT(FS!$D$32:$BK$32/(1+D40)^((FS!$D$2:$BK$2-FS!$D$2)/365))&lt;=0,B40,D40)</f>
        <v>-3.7643912380299349E-2</v>
      </c>
      <c r="C41">
        <f>IF(SUMPRODUCT(FS!$D$32:$BK$32/(1+B40)^((FS!$D$2:$BK$2-FS!$D$2)/365))*SUMPRODUCT(FS!$D$32:$BK$32/(1+D40)^((FS!$D$2:$BK$2-FS!$D$2)/365))&lt;=0,D40,C40)</f>
        <v>-3.7643912300336577E-2</v>
      </c>
      <c r="D41">
        <f t="shared" si="4"/>
        <v>-3.7643912340317963E-2</v>
      </c>
      <c r="E41">
        <f>SUMPRODUCT(FS!$D$32:$BK$32/(1+D41)^((FS!$D$2:$BK$2-FS!$D$2)/365))</f>
        <v>24.1859130859375</v>
      </c>
      <c r="F41" s="8">
        <f t="shared" si="5"/>
        <v>-3.7643912340317963E-2</v>
      </c>
      <c r="G41">
        <f>SUMPRODUCT(FS!$D$27:$BK$27/(1+K41)^((FS!$D$2:$BK$2-FS!$D$2)/365))</f>
        <v>5.11529541015625</v>
      </c>
      <c r="H41">
        <v>38</v>
      </c>
      <c r="I41">
        <f>IF(SUMPRODUCT(FS!$D$27:$BK$27/(1+I40)^((FS!$D$2:$BK$2-FS!$D$2)/365))*SUMPRODUCT(FS!$D$27:$BK$27/(1+K40)^((FS!$D$2:$BK$2-FS!$D$2)/365))&lt;=0,I40,K40)</f>
        <v>-3.0207079798710814E-2</v>
      </c>
      <c r="J41">
        <f>IF(SUMPRODUCT(FS!$D$27:$BK$27/(1+I40)^((FS!$D$2:$BK$2-FS!$D$2)/365))*SUMPRODUCT(FS!$D$27:$BK$27/(1+K40)^((FS!$D$2:$BK$2-FS!$D$2)/365))&lt;=0,K40,J40)</f>
        <v>-3.0207079718748038E-2</v>
      </c>
      <c r="K41">
        <f t="shared" si="6"/>
        <v>-3.0207079758729424E-2</v>
      </c>
      <c r="L41" s="8">
        <f t="shared" si="7"/>
        <v>-3.0207079758729424E-2</v>
      </c>
    </row>
    <row r="42" spans="1:12" x14ac:dyDescent="0.25">
      <c r="A42">
        <v>39</v>
      </c>
      <c r="B42">
        <f>IF(SUMPRODUCT(FS!$D$32:$BK$32/(1+B41)^((FS!$D$2:$BK$2-FS!$D$2)/365))*SUMPRODUCT(FS!$D$32:$BK$32/(1+D41)^((FS!$D$2:$BK$2-FS!$D$2)/365))&lt;=0,B41,D41)</f>
        <v>-3.7643912340317963E-2</v>
      </c>
      <c r="C42">
        <f>IF(SUMPRODUCT(FS!$D$32:$BK$32/(1+B41)^((FS!$D$2:$BK$2-FS!$D$2)/365))*SUMPRODUCT(FS!$D$32:$BK$32/(1+D41)^((FS!$D$2:$BK$2-FS!$D$2)/365))&lt;=0,D41,C41)</f>
        <v>-3.7643912300336577E-2</v>
      </c>
      <c r="D42">
        <f t="shared" si="4"/>
        <v>-3.7643912320327266E-2</v>
      </c>
      <c r="E42">
        <f>SUMPRODUCT(FS!$D$32:$BK$32/(1+D42)^((FS!$D$2:$BK$2-FS!$D$2)/365))</f>
        <v>-5.36602783203125</v>
      </c>
      <c r="F42" s="8">
        <f t="shared" si="5"/>
        <v>-3.7643912320327266E-2</v>
      </c>
      <c r="G42">
        <f>SUMPRODUCT(FS!$D$27:$BK$27/(1+K42)^((FS!$D$2:$BK$2-FS!$D$2)/365))</f>
        <v>-31.0621337890625</v>
      </c>
      <c r="H42">
        <v>39</v>
      </c>
      <c r="I42">
        <f>IF(SUMPRODUCT(FS!$D$27:$BK$27/(1+I41)^((FS!$D$2:$BK$2-FS!$D$2)/365))*SUMPRODUCT(FS!$D$27:$BK$27/(1+K41)^((FS!$D$2:$BK$2-FS!$D$2)/365))&lt;=0,I41,K41)</f>
        <v>-3.0207079758729424E-2</v>
      </c>
      <c r="J42">
        <f>IF(SUMPRODUCT(FS!$D$27:$BK$27/(1+I41)^((FS!$D$2:$BK$2-FS!$D$2)/365))*SUMPRODUCT(FS!$D$27:$BK$27/(1+K41)^((FS!$D$2:$BK$2-FS!$D$2)/365))&lt;=0,K41,J41)</f>
        <v>-3.0207079718748038E-2</v>
      </c>
      <c r="K42">
        <f t="shared" si="6"/>
        <v>-3.0207079738738731E-2</v>
      </c>
      <c r="L42" s="8">
        <f t="shared" si="7"/>
        <v>-3.0207079738738731E-2</v>
      </c>
    </row>
    <row r="43" spans="1:12" x14ac:dyDescent="0.25">
      <c r="A43">
        <v>40</v>
      </c>
      <c r="B43">
        <f>IF(SUMPRODUCT(FS!$D$32:$BK$32/(1+B42)^((FS!$D$2:$BK$2-FS!$D$2)/365))*SUMPRODUCT(FS!$D$32:$BK$32/(1+D42)^((FS!$D$2:$BK$2-FS!$D$2)/365))&lt;=0,B42,D42)</f>
        <v>-3.7643912340317963E-2</v>
      </c>
      <c r="C43">
        <f>IF(SUMPRODUCT(FS!$D$32:$BK$32/(1+B42)^((FS!$D$2:$BK$2-FS!$D$2)/365))*SUMPRODUCT(FS!$D$32:$BK$32/(1+D42)^((FS!$D$2:$BK$2-FS!$D$2)/365))&lt;=0,D42,C42)</f>
        <v>-3.7643912320327266E-2</v>
      </c>
      <c r="D43">
        <f t="shared" si="4"/>
        <v>-3.7643912330322618E-2</v>
      </c>
      <c r="E43">
        <f>SUMPRODUCT(FS!$D$32:$BK$32/(1+D43)^((FS!$D$2:$BK$2-FS!$D$2)/365))</f>
        <v>9.409912109375</v>
      </c>
      <c r="F43" s="8">
        <f t="shared" si="5"/>
        <v>-3.7643912330322618E-2</v>
      </c>
      <c r="G43">
        <f>SUMPRODUCT(FS!$D$27:$BK$27/(1+K43)^((FS!$D$2:$BK$2-FS!$D$2)/365))</f>
        <v>-12.973388671875</v>
      </c>
      <c r="H43">
        <v>40</v>
      </c>
      <c r="I43">
        <f>IF(SUMPRODUCT(FS!$D$27:$BK$27/(1+I42)^((FS!$D$2:$BK$2-FS!$D$2)/365))*SUMPRODUCT(FS!$D$27:$BK$27/(1+K42)^((FS!$D$2:$BK$2-FS!$D$2)/365))&lt;=0,I42,K42)</f>
        <v>-3.0207079758729424E-2</v>
      </c>
      <c r="J43">
        <f>IF(SUMPRODUCT(FS!$D$27:$BK$27/(1+I42)^((FS!$D$2:$BK$2-FS!$D$2)/365))*SUMPRODUCT(FS!$D$27:$BK$27/(1+K42)^((FS!$D$2:$BK$2-FS!$D$2)/365))&lt;=0,K42,J42)</f>
        <v>-3.0207079738738731E-2</v>
      </c>
      <c r="K43">
        <f t="shared" si="6"/>
        <v>-3.0207079748734079E-2</v>
      </c>
      <c r="L43" s="8">
        <f t="shared" si="7"/>
        <v>-3.0207079748734079E-2</v>
      </c>
    </row>
    <row r="44" spans="1:12" x14ac:dyDescent="0.25">
      <c r="A44">
        <v>41</v>
      </c>
      <c r="B44">
        <f>IF(SUMPRODUCT(FS!$D$32:$BK$32/(1+B43)^((FS!$D$2:$BK$2-FS!$D$2)/365))*SUMPRODUCT(FS!$D$32:$BK$32/(1+D43)^((FS!$D$2:$BK$2-FS!$D$2)/365))&lt;=0,B43,D43)</f>
        <v>-3.7643912330322618E-2</v>
      </c>
      <c r="C44">
        <f>IF(SUMPRODUCT(FS!$D$32:$BK$32/(1+B43)^((FS!$D$2:$BK$2-FS!$D$2)/365))*SUMPRODUCT(FS!$D$32:$BK$32/(1+D43)^((FS!$D$2:$BK$2-FS!$D$2)/365))&lt;=0,D43,C43)</f>
        <v>-3.7643912320327266E-2</v>
      </c>
      <c r="D44">
        <f t="shared" si="4"/>
        <v>-3.7643912325324942E-2</v>
      </c>
      <c r="E44">
        <f>SUMPRODUCT(FS!$D$32:$BK$32/(1+D44)^((FS!$D$2:$BK$2-FS!$D$2)/365))</f>
        <v>2.02197265625</v>
      </c>
      <c r="F44" s="8">
        <f t="shared" si="5"/>
        <v>-3.7643912325324942E-2</v>
      </c>
      <c r="G44">
        <f>SUMPRODUCT(FS!$D$27:$BK$27/(1+K44)^((FS!$D$2:$BK$2-FS!$D$2)/365))</f>
        <v>-3.928955078125</v>
      </c>
      <c r="H44">
        <v>41</v>
      </c>
      <c r="I44">
        <f>IF(SUMPRODUCT(FS!$D$27:$BK$27/(1+I43)^((FS!$D$2:$BK$2-FS!$D$2)/365))*SUMPRODUCT(FS!$D$27:$BK$27/(1+K43)^((FS!$D$2:$BK$2-FS!$D$2)/365))&lt;=0,I43,K43)</f>
        <v>-3.0207079758729424E-2</v>
      </c>
      <c r="J44">
        <f>IF(SUMPRODUCT(FS!$D$27:$BK$27/(1+I43)^((FS!$D$2:$BK$2-FS!$D$2)/365))*SUMPRODUCT(FS!$D$27:$BK$27/(1+K43)^((FS!$D$2:$BK$2-FS!$D$2)/365))&lt;=0,K43,J43)</f>
        <v>-3.0207079748734079E-2</v>
      </c>
      <c r="K44">
        <f t="shared" si="6"/>
        <v>-3.0207079753731752E-2</v>
      </c>
      <c r="L44" s="8">
        <f t="shared" si="7"/>
        <v>-3.0207079753731752E-2</v>
      </c>
    </row>
    <row r="45" spans="1:12" x14ac:dyDescent="0.25">
      <c r="A45">
        <v>42</v>
      </c>
      <c r="B45">
        <f>IF(SUMPRODUCT(FS!$D$32:$BK$32/(1+B44)^((FS!$D$2:$BK$2-FS!$D$2)/365))*SUMPRODUCT(FS!$D$32:$BK$32/(1+D44)^((FS!$D$2:$BK$2-FS!$D$2)/365))&lt;=0,B44,D44)</f>
        <v>-3.7643912325324942E-2</v>
      </c>
      <c r="C45">
        <f>IF(SUMPRODUCT(FS!$D$32:$BK$32/(1+B44)^((FS!$D$2:$BK$2-FS!$D$2)/365))*SUMPRODUCT(FS!$D$32:$BK$32/(1+D44)^((FS!$D$2:$BK$2-FS!$D$2)/365))&lt;=0,D44,C44)</f>
        <v>-3.7643912320327266E-2</v>
      </c>
      <c r="D45">
        <f t="shared" si="4"/>
        <v>-3.7643912322826101E-2</v>
      </c>
      <c r="E45">
        <f>SUMPRODUCT(FS!$D$32:$BK$32/(1+D45)^((FS!$D$2:$BK$2-FS!$D$2)/365))</f>
        <v>-1.672119140625</v>
      </c>
      <c r="F45" s="8">
        <f t="shared" si="5"/>
        <v>-3.7643912322826101E-2</v>
      </c>
      <c r="G45">
        <f>SUMPRODUCT(FS!$D$27:$BK$27/(1+K45)^((FS!$D$2:$BK$2-FS!$D$2)/365))</f>
        <v>0.59332275390625</v>
      </c>
      <c r="H45">
        <v>42</v>
      </c>
      <c r="I45">
        <f>IF(SUMPRODUCT(FS!$D$27:$BK$27/(1+I44)^((FS!$D$2:$BK$2-FS!$D$2)/365))*SUMPRODUCT(FS!$D$27:$BK$27/(1+K44)^((FS!$D$2:$BK$2-FS!$D$2)/365))&lt;=0,I44,K44)</f>
        <v>-3.0207079758729424E-2</v>
      </c>
      <c r="J45">
        <f>IF(SUMPRODUCT(FS!$D$27:$BK$27/(1+I44)^((FS!$D$2:$BK$2-FS!$D$2)/365))*SUMPRODUCT(FS!$D$27:$BK$27/(1+K44)^((FS!$D$2:$BK$2-FS!$D$2)/365))&lt;=0,K44,J44)</f>
        <v>-3.0207079753731752E-2</v>
      </c>
      <c r="K45">
        <f t="shared" si="6"/>
        <v>-3.020707975623059E-2</v>
      </c>
      <c r="L45" s="8">
        <f t="shared" si="7"/>
        <v>-3.020707975623059E-2</v>
      </c>
    </row>
    <row r="46" spans="1:12" x14ac:dyDescent="0.25">
      <c r="A46">
        <v>43</v>
      </c>
      <c r="B46">
        <f>IF(SUMPRODUCT(FS!$D$32:$BK$32/(1+B45)^((FS!$D$2:$BK$2-FS!$D$2)/365))*SUMPRODUCT(FS!$D$32:$BK$32/(1+D45)^((FS!$D$2:$BK$2-FS!$D$2)/365))&lt;=0,B45,D45)</f>
        <v>-3.7643912325324942E-2</v>
      </c>
      <c r="C46">
        <f>IF(SUMPRODUCT(FS!$D$32:$BK$32/(1+B45)^((FS!$D$2:$BK$2-FS!$D$2)/365))*SUMPRODUCT(FS!$D$32:$BK$32/(1+D45)^((FS!$D$2:$BK$2-FS!$D$2)/365))&lt;=0,D45,C45)</f>
        <v>-3.7643912322826101E-2</v>
      </c>
      <c r="D46">
        <f t="shared" si="4"/>
        <v>-3.7643912324075518E-2</v>
      </c>
      <c r="E46">
        <f>SUMPRODUCT(FS!$D$32:$BK$32/(1+D46)^((FS!$D$2:$BK$2-FS!$D$2)/365))</f>
        <v>0.1749267578125</v>
      </c>
      <c r="F46" s="8">
        <f t="shared" si="5"/>
        <v>-3.7643912324075518E-2</v>
      </c>
      <c r="G46">
        <f>SUMPRODUCT(FS!$D$27:$BK$27/(1+K46)^((FS!$D$2:$BK$2-FS!$D$2)/365))</f>
        <v>-1.66796875</v>
      </c>
      <c r="H46">
        <v>43</v>
      </c>
      <c r="I46">
        <f>IF(SUMPRODUCT(FS!$D$27:$BK$27/(1+I45)^((FS!$D$2:$BK$2-FS!$D$2)/365))*SUMPRODUCT(FS!$D$27:$BK$27/(1+K45)^((FS!$D$2:$BK$2-FS!$D$2)/365))&lt;=0,I45,K45)</f>
        <v>-3.020707975623059E-2</v>
      </c>
      <c r="J46">
        <f>IF(SUMPRODUCT(FS!$D$27:$BK$27/(1+I45)^((FS!$D$2:$BK$2-FS!$D$2)/365))*SUMPRODUCT(FS!$D$27:$BK$27/(1+K45)^((FS!$D$2:$BK$2-FS!$D$2)/365))&lt;=0,K45,J45)</f>
        <v>-3.0207079753731752E-2</v>
      </c>
      <c r="K46">
        <f t="shared" si="6"/>
        <v>-3.0207079754981173E-2</v>
      </c>
      <c r="L46" s="8">
        <f t="shared" si="7"/>
        <v>-3.0207079754981173E-2</v>
      </c>
    </row>
    <row r="47" spans="1:12" x14ac:dyDescent="0.25">
      <c r="A47">
        <v>44</v>
      </c>
      <c r="B47">
        <f>IF(SUMPRODUCT(FS!$D$32:$BK$32/(1+B46)^((FS!$D$2:$BK$2-FS!$D$2)/365))*SUMPRODUCT(FS!$D$32:$BK$32/(1+D46)^((FS!$D$2:$BK$2-FS!$D$2)/365))&lt;=0,B46,D46)</f>
        <v>-3.7643912324075518E-2</v>
      </c>
      <c r="C47">
        <f>IF(SUMPRODUCT(FS!$D$32:$BK$32/(1+B46)^((FS!$D$2:$BK$2-FS!$D$2)/365))*SUMPRODUCT(FS!$D$32:$BK$32/(1+D46)^((FS!$D$2:$BK$2-FS!$D$2)/365))&lt;=0,D46,C46)</f>
        <v>-3.7643912322826101E-2</v>
      </c>
      <c r="D47">
        <f t="shared" si="4"/>
        <v>-3.7643912323450809E-2</v>
      </c>
      <c r="E47">
        <f>SUMPRODUCT(FS!$D$32:$BK$32/(1+D47)^((FS!$D$2:$BK$2-FS!$D$2)/365))</f>
        <v>-0.74859619140625</v>
      </c>
      <c r="F47" s="8">
        <f t="shared" si="5"/>
        <v>-3.7643912323450809E-2</v>
      </c>
      <c r="G47">
        <f>SUMPRODUCT(FS!$D$27:$BK$27/(1+K47)^((FS!$D$2:$BK$2-FS!$D$2)/365))</f>
        <v>-0.53741455078125</v>
      </c>
      <c r="H47">
        <v>44</v>
      </c>
      <c r="I47">
        <f>IF(SUMPRODUCT(FS!$D$27:$BK$27/(1+I46)^((FS!$D$2:$BK$2-FS!$D$2)/365))*SUMPRODUCT(FS!$D$27:$BK$27/(1+K46)^((FS!$D$2:$BK$2-FS!$D$2)/365))&lt;=0,I46,K46)</f>
        <v>-3.020707975623059E-2</v>
      </c>
      <c r="J47">
        <f>IF(SUMPRODUCT(FS!$D$27:$BK$27/(1+I46)^((FS!$D$2:$BK$2-FS!$D$2)/365))*SUMPRODUCT(FS!$D$27:$BK$27/(1+K46)^((FS!$D$2:$BK$2-FS!$D$2)/365))&lt;=0,K46,J46)</f>
        <v>-3.0207079754981173E-2</v>
      </c>
      <c r="K47">
        <f t="shared" si="6"/>
        <v>-3.0207079755605881E-2</v>
      </c>
      <c r="L47" s="8">
        <f t="shared" si="7"/>
        <v>-3.0207079755605881E-2</v>
      </c>
    </row>
    <row r="48" spans="1:12" x14ac:dyDescent="0.25">
      <c r="A48">
        <v>45</v>
      </c>
      <c r="B48">
        <f>IF(SUMPRODUCT(FS!$D$32:$BK$32/(1+B47)^((FS!$D$2:$BK$2-FS!$D$2)/365))*SUMPRODUCT(FS!$D$32:$BK$32/(1+D47)^((FS!$D$2:$BK$2-FS!$D$2)/365))&lt;=0,B47,D47)</f>
        <v>-3.7643912324075518E-2</v>
      </c>
      <c r="C48">
        <f>IF(SUMPRODUCT(FS!$D$32:$BK$32/(1+B47)^((FS!$D$2:$BK$2-FS!$D$2)/365))*SUMPRODUCT(FS!$D$32:$BK$32/(1+D47)^((FS!$D$2:$BK$2-FS!$D$2)/365))&lt;=0,D47,C47)</f>
        <v>-3.7643912323450809E-2</v>
      </c>
      <c r="D48">
        <f t="shared" si="4"/>
        <v>-3.7643912323763164E-2</v>
      </c>
      <c r="E48">
        <f>SUMPRODUCT(FS!$D$32:$BK$32/(1+D48)^((FS!$D$2:$BK$2-FS!$D$2)/365))</f>
        <v>-0.28680419921875</v>
      </c>
      <c r="F48" s="8">
        <f t="shared" si="5"/>
        <v>-3.7643912323763164E-2</v>
      </c>
      <c r="G48">
        <f>SUMPRODUCT(FS!$D$27:$BK$27/(1+K48)^((FS!$D$2:$BK$2-FS!$D$2)/365))</f>
        <v>2.789306640625E-2</v>
      </c>
      <c r="H48">
        <v>45</v>
      </c>
      <c r="I48">
        <f>IF(SUMPRODUCT(FS!$D$27:$BK$27/(1+I47)^((FS!$D$2:$BK$2-FS!$D$2)/365))*SUMPRODUCT(FS!$D$27:$BK$27/(1+K47)^((FS!$D$2:$BK$2-FS!$D$2)/365))&lt;=0,I47,K47)</f>
        <v>-3.020707975623059E-2</v>
      </c>
      <c r="J48">
        <f>IF(SUMPRODUCT(FS!$D$27:$BK$27/(1+I47)^((FS!$D$2:$BK$2-FS!$D$2)/365))*SUMPRODUCT(FS!$D$27:$BK$27/(1+K47)^((FS!$D$2:$BK$2-FS!$D$2)/365))&lt;=0,K47,J47)</f>
        <v>-3.0207079755605881E-2</v>
      </c>
      <c r="K48">
        <f t="shared" si="6"/>
        <v>-3.0207079755918236E-2</v>
      </c>
      <c r="L48" s="8">
        <f t="shared" si="7"/>
        <v>-3.0207079755918236E-2</v>
      </c>
    </row>
    <row r="49" spans="1:12" x14ac:dyDescent="0.25">
      <c r="A49">
        <v>46</v>
      </c>
      <c r="B49">
        <f>IF(SUMPRODUCT(FS!$D$32:$BK$32/(1+B48)^((FS!$D$2:$BK$2-FS!$D$2)/365))*SUMPRODUCT(FS!$D$32:$BK$32/(1+D48)^((FS!$D$2:$BK$2-FS!$D$2)/365))&lt;=0,B48,D48)</f>
        <v>-3.7643912324075518E-2</v>
      </c>
      <c r="C49">
        <f>IF(SUMPRODUCT(FS!$D$32:$BK$32/(1+B48)^((FS!$D$2:$BK$2-FS!$D$2)/365))*SUMPRODUCT(FS!$D$32:$BK$32/(1+D48)^((FS!$D$2:$BK$2-FS!$D$2)/365))&lt;=0,D48,C48)</f>
        <v>-3.7643912323763164E-2</v>
      </c>
      <c r="D49">
        <f t="shared" si="4"/>
        <v>-3.7643912323919337E-2</v>
      </c>
      <c r="E49">
        <f>SUMPRODUCT(FS!$D$32:$BK$32/(1+D49)^((FS!$D$2:$BK$2-FS!$D$2)/365))</f>
        <v>-5.584716796875E-2</v>
      </c>
      <c r="F49" s="8">
        <f t="shared" si="5"/>
        <v>-3.7643912323919337E-2</v>
      </c>
      <c r="G49">
        <f>SUMPRODUCT(FS!$D$27:$BK$27/(1+K49)^((FS!$D$2:$BK$2-FS!$D$2)/365))</f>
        <v>-0.254638671875</v>
      </c>
      <c r="H49">
        <v>46</v>
      </c>
      <c r="I49">
        <f>IF(SUMPRODUCT(FS!$D$27:$BK$27/(1+I48)^((FS!$D$2:$BK$2-FS!$D$2)/365))*SUMPRODUCT(FS!$D$27:$BK$27/(1+K48)^((FS!$D$2:$BK$2-FS!$D$2)/365))&lt;=0,I48,K48)</f>
        <v>-3.0207079755918236E-2</v>
      </c>
      <c r="J49">
        <f>IF(SUMPRODUCT(FS!$D$27:$BK$27/(1+I48)^((FS!$D$2:$BK$2-FS!$D$2)/365))*SUMPRODUCT(FS!$D$27:$BK$27/(1+K48)^((FS!$D$2:$BK$2-FS!$D$2)/365))&lt;=0,K48,J48)</f>
        <v>-3.0207079755605881E-2</v>
      </c>
      <c r="K49">
        <f t="shared" si="6"/>
        <v>-3.0207079755762058E-2</v>
      </c>
      <c r="L49" s="8">
        <f t="shared" si="7"/>
        <v>-3.0207079755762058E-2</v>
      </c>
    </row>
    <row r="50" spans="1:12" x14ac:dyDescent="0.25">
      <c r="A50">
        <v>47</v>
      </c>
      <c r="B50">
        <f>IF(SUMPRODUCT(FS!$D$32:$BK$32/(1+B49)^((FS!$D$2:$BK$2-FS!$D$2)/365))*SUMPRODUCT(FS!$D$32:$BK$32/(1+D49)^((FS!$D$2:$BK$2-FS!$D$2)/365))&lt;=0,B49,D49)</f>
        <v>-3.7643912324075518E-2</v>
      </c>
      <c r="C50">
        <f>IF(SUMPRODUCT(FS!$D$32:$BK$32/(1+B49)^((FS!$D$2:$BK$2-FS!$D$2)/365))*SUMPRODUCT(FS!$D$32:$BK$32/(1+D49)^((FS!$D$2:$BK$2-FS!$D$2)/365))&lt;=0,D49,C49)</f>
        <v>-3.7643912323919337E-2</v>
      </c>
      <c r="D50">
        <f t="shared" si="4"/>
        <v>-3.7643912323997428E-2</v>
      </c>
      <c r="E50">
        <f>SUMPRODUCT(FS!$D$32:$BK$32/(1+D50)^((FS!$D$2:$BK$2-FS!$D$2)/365))</f>
        <v>5.950927734375E-2</v>
      </c>
      <c r="F50" s="8">
        <f t="shared" si="5"/>
        <v>-3.7643912323997428E-2</v>
      </c>
      <c r="G50">
        <f>SUMPRODUCT(FS!$D$27:$BK$27/(1+K50)^((FS!$D$2:$BK$2-FS!$D$2)/365))</f>
        <v>-0.11346435546875</v>
      </c>
      <c r="H50">
        <v>47</v>
      </c>
      <c r="I50">
        <f>IF(SUMPRODUCT(FS!$D$27:$BK$27/(1+I49)^((FS!$D$2:$BK$2-FS!$D$2)/365))*SUMPRODUCT(FS!$D$27:$BK$27/(1+K49)^((FS!$D$2:$BK$2-FS!$D$2)/365))&lt;=0,I49,K49)</f>
        <v>-3.0207079755918236E-2</v>
      </c>
      <c r="J50">
        <f>IF(SUMPRODUCT(FS!$D$27:$BK$27/(1+I49)^((FS!$D$2:$BK$2-FS!$D$2)/365))*SUMPRODUCT(FS!$D$27:$BK$27/(1+K49)^((FS!$D$2:$BK$2-FS!$D$2)/365))&lt;=0,K49,J49)</f>
        <v>-3.0207079755762058E-2</v>
      </c>
      <c r="K50">
        <f t="shared" si="6"/>
        <v>-3.0207079755840145E-2</v>
      </c>
      <c r="L50" s="8">
        <f t="shared" si="7"/>
        <v>-3.0207079755840145E-2</v>
      </c>
    </row>
    <row r="51" spans="1:12" x14ac:dyDescent="0.25">
      <c r="A51">
        <v>48</v>
      </c>
      <c r="B51">
        <f>IF(SUMPRODUCT(FS!$D$32:$BK$32/(1+B50)^((FS!$D$2:$BK$2-FS!$D$2)/365))*SUMPRODUCT(FS!$D$32:$BK$32/(1+D50)^((FS!$D$2:$BK$2-FS!$D$2)/365))&lt;=0,B50,D50)</f>
        <v>-3.7643912323997428E-2</v>
      </c>
      <c r="C51">
        <f>IF(SUMPRODUCT(FS!$D$32:$BK$32/(1+B50)^((FS!$D$2:$BK$2-FS!$D$2)/365))*SUMPRODUCT(FS!$D$32:$BK$32/(1+D50)^((FS!$D$2:$BK$2-FS!$D$2)/365))&lt;=0,D50,C50)</f>
        <v>-3.7643912323919337E-2</v>
      </c>
      <c r="D51">
        <f t="shared" si="4"/>
        <v>-3.7643912323958383E-2</v>
      </c>
      <c r="E51">
        <f>SUMPRODUCT(FS!$D$32:$BK$32/(1+D51)^((FS!$D$2:$BK$2-FS!$D$2)/365))</f>
        <v>1.77001953125E-3</v>
      </c>
      <c r="F51" s="8">
        <f t="shared" si="5"/>
        <v>-3.7643912323958383E-2</v>
      </c>
      <c r="G51">
        <f>SUMPRODUCT(FS!$D$27:$BK$27/(1+K51)^((FS!$D$2:$BK$2-FS!$D$2)/365))</f>
        <v>-4.266357421875E-2</v>
      </c>
      <c r="H51">
        <v>48</v>
      </c>
      <c r="I51">
        <f>IF(SUMPRODUCT(FS!$D$27:$BK$27/(1+I50)^((FS!$D$2:$BK$2-FS!$D$2)/365))*SUMPRODUCT(FS!$D$27:$BK$27/(1+K50)^((FS!$D$2:$BK$2-FS!$D$2)/365))&lt;=0,I50,K50)</f>
        <v>-3.0207079755918236E-2</v>
      </c>
      <c r="J51">
        <f>IF(SUMPRODUCT(FS!$D$27:$BK$27/(1+I50)^((FS!$D$2:$BK$2-FS!$D$2)/365))*SUMPRODUCT(FS!$D$27:$BK$27/(1+K50)^((FS!$D$2:$BK$2-FS!$D$2)/365))&lt;=0,K50,J50)</f>
        <v>-3.0207079755840145E-2</v>
      </c>
      <c r="K51">
        <f t="shared" si="6"/>
        <v>-3.020707975587919E-2</v>
      </c>
      <c r="L51" s="8">
        <f t="shared" si="7"/>
        <v>-3.020707975587919E-2</v>
      </c>
    </row>
    <row r="52" spans="1:12" x14ac:dyDescent="0.25">
      <c r="A52">
        <v>49</v>
      </c>
      <c r="B52">
        <f>IF(SUMPRODUCT(FS!$D$32:$BK$32/(1+B51)^((FS!$D$2:$BK$2-FS!$D$2)/365))*SUMPRODUCT(FS!$D$32:$BK$32/(1+D51)^((FS!$D$2:$BK$2-FS!$D$2)/365))&lt;=0,B51,D51)</f>
        <v>-3.7643912323958383E-2</v>
      </c>
      <c r="C52">
        <f>IF(SUMPRODUCT(FS!$D$32:$BK$32/(1+B51)^((FS!$D$2:$BK$2-FS!$D$2)/365))*SUMPRODUCT(FS!$D$32:$BK$32/(1+D51)^((FS!$D$2:$BK$2-FS!$D$2)/365))&lt;=0,D51,C51)</f>
        <v>-3.7643912323919337E-2</v>
      </c>
      <c r="D52">
        <f t="shared" si="4"/>
        <v>-3.7643912323938863E-2</v>
      </c>
      <c r="E52">
        <f>SUMPRODUCT(FS!$D$32:$BK$32/(1+D52)^((FS!$D$2:$BK$2-FS!$D$2)/365))</f>
        <v>-2.7099609375E-2</v>
      </c>
      <c r="F52" s="8">
        <f t="shared" si="5"/>
        <v>-3.7643912323938863E-2</v>
      </c>
      <c r="G52">
        <f>SUMPRODUCT(FS!$D$27:$BK$27/(1+K52)^((FS!$D$2:$BK$2-FS!$D$2)/365))</f>
        <v>-7.38525390625E-3</v>
      </c>
      <c r="H52">
        <v>49</v>
      </c>
      <c r="I52">
        <f>IF(SUMPRODUCT(FS!$D$27:$BK$27/(1+I51)^((FS!$D$2:$BK$2-FS!$D$2)/365))*SUMPRODUCT(FS!$D$27:$BK$27/(1+K51)^((FS!$D$2:$BK$2-FS!$D$2)/365))&lt;=0,I51,K51)</f>
        <v>-3.0207079755918236E-2</v>
      </c>
      <c r="J52">
        <f>IF(SUMPRODUCT(FS!$D$27:$BK$27/(1+I51)^((FS!$D$2:$BK$2-FS!$D$2)/365))*SUMPRODUCT(FS!$D$27:$BK$27/(1+K51)^((FS!$D$2:$BK$2-FS!$D$2)/365))&lt;=0,K51,J51)</f>
        <v>-3.020707975587919E-2</v>
      </c>
      <c r="K52">
        <f t="shared" si="6"/>
        <v>-3.0207079755898713E-2</v>
      </c>
      <c r="L52" s="8">
        <f t="shared" si="7"/>
        <v>-3.0207079755898713E-2</v>
      </c>
    </row>
    <row r="53" spans="1:12" x14ac:dyDescent="0.25">
      <c r="A53">
        <v>50</v>
      </c>
      <c r="B53">
        <f>IF(SUMPRODUCT(FS!$D$32:$BK$32/(1+B52)^((FS!$D$2:$BK$2-FS!$D$2)/365))*SUMPRODUCT(FS!$D$32:$BK$32/(1+D52)^((FS!$D$2:$BK$2-FS!$D$2)/365))&lt;=0,B52,D52)</f>
        <v>-3.7643912323958383E-2</v>
      </c>
      <c r="C53">
        <f>IF(SUMPRODUCT(FS!$D$32:$BK$32/(1+B52)^((FS!$D$2:$BK$2-FS!$D$2)/365))*SUMPRODUCT(FS!$D$32:$BK$32/(1+D52)^((FS!$D$2:$BK$2-FS!$D$2)/365))&lt;=0,D52,C52)</f>
        <v>-3.7643912323938863E-2</v>
      </c>
      <c r="D53">
        <f t="shared" si="4"/>
        <v>-3.764391232394862E-2</v>
      </c>
      <c r="E53">
        <f>SUMPRODUCT(FS!$D$32:$BK$32/(1+D53)^((FS!$D$2:$BK$2-FS!$D$2)/365))</f>
        <v>-1.263427734375E-2</v>
      </c>
      <c r="F53" s="8">
        <f t="shared" si="5"/>
        <v>-3.764391232394862E-2</v>
      </c>
      <c r="G53">
        <f>SUMPRODUCT(FS!$D$27:$BK$27/(1+K53)^((FS!$D$2:$BK$2-FS!$D$2)/365))</f>
        <v>1.01318359375E-2</v>
      </c>
      <c r="H53">
        <v>50</v>
      </c>
      <c r="I53">
        <f>IF(SUMPRODUCT(FS!$D$27:$BK$27/(1+I52)^((FS!$D$2:$BK$2-FS!$D$2)/365))*SUMPRODUCT(FS!$D$27:$BK$27/(1+K52)^((FS!$D$2:$BK$2-FS!$D$2)/365))&lt;=0,I52,K52)</f>
        <v>-3.0207079755918236E-2</v>
      </c>
      <c r="J53">
        <f>IF(SUMPRODUCT(FS!$D$27:$BK$27/(1+I52)^((FS!$D$2:$BK$2-FS!$D$2)/365))*SUMPRODUCT(FS!$D$27:$BK$27/(1+K52)^((FS!$D$2:$BK$2-FS!$D$2)/365))&lt;=0,K52,J52)</f>
        <v>-3.0207079755898713E-2</v>
      </c>
      <c r="K53">
        <f t="shared" si="6"/>
        <v>-3.0207079755908472E-2</v>
      </c>
      <c r="L53" s="8">
        <f t="shared" si="7"/>
        <v>-3.0207079755908472E-2</v>
      </c>
    </row>
    <row r="54" spans="1:12" x14ac:dyDescent="0.25">
      <c r="A54">
        <v>51</v>
      </c>
      <c r="B54">
        <f>IF(SUMPRODUCT(FS!$D$32:$BK$32/(1+B53)^((FS!$D$2:$BK$2-FS!$D$2)/365))*SUMPRODUCT(FS!$D$32:$BK$32/(1+D53)^((FS!$D$2:$BK$2-FS!$D$2)/365))&lt;=0,B53,D53)</f>
        <v>-3.7643912323958383E-2</v>
      </c>
      <c r="C54">
        <f>IF(SUMPRODUCT(FS!$D$32:$BK$32/(1+B53)^((FS!$D$2:$BK$2-FS!$D$2)/365))*SUMPRODUCT(FS!$D$32:$BK$32/(1+D53)^((FS!$D$2:$BK$2-FS!$D$2)/365))&lt;=0,D53,C53)</f>
        <v>-3.764391232394862E-2</v>
      </c>
      <c r="D54">
        <f t="shared" si="4"/>
        <v>-3.7643912323953505E-2</v>
      </c>
      <c r="E54">
        <f>SUMPRODUCT(FS!$D$32:$BK$32/(1+D54)^((FS!$D$2:$BK$2-FS!$D$2)/365))</f>
        <v>-5.4931640625E-3</v>
      </c>
      <c r="F54" s="8">
        <f t="shared" si="5"/>
        <v>-3.7643912323953505E-2</v>
      </c>
      <c r="G54">
        <f>SUMPRODUCT(FS!$D$27:$BK$27/(1+K54)^((FS!$D$2:$BK$2-FS!$D$2)/365))</f>
        <v>1.3427734375E-3</v>
      </c>
      <c r="H54">
        <v>51</v>
      </c>
      <c r="I54">
        <f>IF(SUMPRODUCT(FS!$D$27:$BK$27/(1+I53)^((FS!$D$2:$BK$2-FS!$D$2)/365))*SUMPRODUCT(FS!$D$27:$BK$27/(1+K53)^((FS!$D$2:$BK$2-FS!$D$2)/365))&lt;=0,I53,K53)</f>
        <v>-3.0207079755908472E-2</v>
      </c>
      <c r="J54">
        <f>IF(SUMPRODUCT(FS!$D$27:$BK$27/(1+I53)^((FS!$D$2:$BK$2-FS!$D$2)/365))*SUMPRODUCT(FS!$D$27:$BK$27/(1+K53)^((FS!$D$2:$BK$2-FS!$D$2)/365))&lt;=0,K53,J53)</f>
        <v>-3.0207079755898713E-2</v>
      </c>
      <c r="K54">
        <f t="shared" si="6"/>
        <v>-3.0207079755903594E-2</v>
      </c>
      <c r="L54" s="8">
        <f t="shared" si="7"/>
        <v>-3.0207079755903594E-2</v>
      </c>
    </row>
    <row r="55" spans="1:12" x14ac:dyDescent="0.25">
      <c r="A55">
        <v>52</v>
      </c>
      <c r="B55">
        <f>IF(SUMPRODUCT(FS!$D$32:$BK$32/(1+B54)^((FS!$D$2:$BK$2-FS!$D$2)/365))*SUMPRODUCT(FS!$D$32:$BK$32/(1+D54)^((FS!$D$2:$BK$2-FS!$D$2)/365))&lt;=0,B54,D54)</f>
        <v>-3.7643912323958383E-2</v>
      </c>
      <c r="C55">
        <f>IF(SUMPRODUCT(FS!$D$32:$BK$32/(1+B54)^((FS!$D$2:$BK$2-FS!$D$2)/365))*SUMPRODUCT(FS!$D$32:$BK$32/(1+D54)^((FS!$D$2:$BK$2-FS!$D$2)/365))&lt;=0,D54,C54)</f>
        <v>-3.7643912323953505E-2</v>
      </c>
      <c r="D55">
        <f t="shared" si="4"/>
        <v>-3.7643912323955947E-2</v>
      </c>
      <c r="E55">
        <f>SUMPRODUCT(FS!$D$32:$BK$32/(1+D55)^((FS!$D$2:$BK$2-FS!$D$2)/365))</f>
        <v>-1.77001953125E-3</v>
      </c>
      <c r="F55" s="8">
        <f t="shared" si="5"/>
        <v>-3.7643912323955947E-2</v>
      </c>
      <c r="G55">
        <f>SUMPRODUCT(FS!$D$27:$BK$27/(1+K55)^((FS!$D$2:$BK$2-FS!$D$2)/365))</f>
        <v>-2.86865234375E-3</v>
      </c>
      <c r="H55">
        <v>52</v>
      </c>
      <c r="I55">
        <f>IF(SUMPRODUCT(FS!$D$27:$BK$27/(1+I54)^((FS!$D$2:$BK$2-FS!$D$2)/365))*SUMPRODUCT(FS!$D$27:$BK$27/(1+K54)^((FS!$D$2:$BK$2-FS!$D$2)/365))&lt;=0,I54,K54)</f>
        <v>-3.0207079755903594E-2</v>
      </c>
      <c r="J55">
        <f>IF(SUMPRODUCT(FS!$D$27:$BK$27/(1+I54)^((FS!$D$2:$BK$2-FS!$D$2)/365))*SUMPRODUCT(FS!$D$27:$BK$27/(1+K54)^((FS!$D$2:$BK$2-FS!$D$2)/365))&lt;=0,K54,J54)</f>
        <v>-3.0207079755898713E-2</v>
      </c>
      <c r="K55">
        <f t="shared" si="6"/>
        <v>-3.0207079755901152E-2</v>
      </c>
      <c r="L55" s="8">
        <f t="shared" si="7"/>
        <v>-3.0207079755901152E-2</v>
      </c>
    </row>
    <row r="56" spans="1:12" x14ac:dyDescent="0.25">
      <c r="A56">
        <v>53</v>
      </c>
      <c r="B56">
        <f>IF(SUMPRODUCT(FS!$D$32:$BK$32/(1+B55)^((FS!$D$2:$BK$2-FS!$D$2)/365))*SUMPRODUCT(FS!$D$32:$BK$32/(1+D55)^((FS!$D$2:$BK$2-FS!$D$2)/365))&lt;=0,B55,D55)</f>
        <v>-3.7643912323958383E-2</v>
      </c>
      <c r="C56">
        <f>IF(SUMPRODUCT(FS!$D$32:$BK$32/(1+B55)^((FS!$D$2:$BK$2-FS!$D$2)/365))*SUMPRODUCT(FS!$D$32:$BK$32/(1+D55)^((FS!$D$2:$BK$2-FS!$D$2)/365))&lt;=0,D55,C55)</f>
        <v>-3.7643912323955947E-2</v>
      </c>
      <c r="D56">
        <f t="shared" si="4"/>
        <v>-3.7643912323957168E-2</v>
      </c>
      <c r="E56">
        <f>SUMPRODUCT(FS!$D$32:$BK$32/(1+D56)^((FS!$D$2:$BK$2-FS!$D$2)/365))</f>
        <v>0</v>
      </c>
      <c r="F56" s="8">
        <f t="shared" si="5"/>
        <v>-3.7643912323957168E-2</v>
      </c>
      <c r="G56">
        <f>SUMPRODUCT(FS!$D$27:$BK$27/(1+K56)^((FS!$D$2:$BK$2-FS!$D$2)/365))</f>
        <v>-6.7138671875E-4</v>
      </c>
      <c r="H56">
        <v>53</v>
      </c>
      <c r="I56">
        <f>IF(SUMPRODUCT(FS!$D$27:$BK$27/(1+I55)^((FS!$D$2:$BK$2-FS!$D$2)/365))*SUMPRODUCT(FS!$D$27:$BK$27/(1+K55)^((FS!$D$2:$BK$2-FS!$D$2)/365))&lt;=0,I55,K55)</f>
        <v>-3.0207079755903594E-2</v>
      </c>
      <c r="J56">
        <f>IF(SUMPRODUCT(FS!$D$27:$BK$27/(1+I55)^((FS!$D$2:$BK$2-FS!$D$2)/365))*SUMPRODUCT(FS!$D$27:$BK$27/(1+K55)^((FS!$D$2:$BK$2-FS!$D$2)/365))&lt;=0,K55,J55)</f>
        <v>-3.0207079755901152E-2</v>
      </c>
      <c r="K56">
        <f t="shared" si="6"/>
        <v>-3.0207079755902373E-2</v>
      </c>
      <c r="L56" s="8">
        <f t="shared" si="7"/>
        <v>-3.0207079755902373E-2</v>
      </c>
    </row>
    <row r="57" spans="1:12" x14ac:dyDescent="0.25">
      <c r="A57">
        <v>54</v>
      </c>
      <c r="B57">
        <f>IF(SUMPRODUCT(FS!$D$32:$BK$32/(1+B56)^((FS!$D$2:$BK$2-FS!$D$2)/365))*SUMPRODUCT(FS!$D$32:$BK$32/(1+D56)^((FS!$D$2:$BK$2-FS!$D$2)/365))&lt;=0,B56,D56)</f>
        <v>-3.7643912323958383E-2</v>
      </c>
      <c r="C57">
        <f>IF(SUMPRODUCT(FS!$D$32:$BK$32/(1+B56)^((FS!$D$2:$BK$2-FS!$D$2)/365))*SUMPRODUCT(FS!$D$32:$BK$32/(1+D56)^((FS!$D$2:$BK$2-FS!$D$2)/365))&lt;=0,D56,C56)</f>
        <v>-3.7643912323957168E-2</v>
      </c>
      <c r="D57">
        <f t="shared" si="4"/>
        <v>-3.7643912323957779E-2</v>
      </c>
      <c r="E57">
        <f>SUMPRODUCT(FS!$D$32:$BK$32/(1+D57)^((FS!$D$2:$BK$2-FS!$D$2)/365))</f>
        <v>1.03759765625E-3</v>
      </c>
      <c r="F57" s="8">
        <f t="shared" si="5"/>
        <v>-3.7643912323957779E-2</v>
      </c>
      <c r="G57">
        <f>SUMPRODUCT(FS!$D$27:$BK$27/(1+K57)^((FS!$D$2:$BK$2-FS!$D$2)/365))</f>
        <v>2.44140625E-4</v>
      </c>
      <c r="H57">
        <v>54</v>
      </c>
      <c r="I57">
        <f>IF(SUMPRODUCT(FS!$D$27:$BK$27/(1+I56)^((FS!$D$2:$BK$2-FS!$D$2)/365))*SUMPRODUCT(FS!$D$27:$BK$27/(1+K56)^((FS!$D$2:$BK$2-FS!$D$2)/365))&lt;=0,I56,K56)</f>
        <v>-3.0207079755903594E-2</v>
      </c>
      <c r="J57">
        <f>IF(SUMPRODUCT(FS!$D$27:$BK$27/(1+I56)^((FS!$D$2:$BK$2-FS!$D$2)/365))*SUMPRODUCT(FS!$D$27:$BK$27/(1+K56)^((FS!$D$2:$BK$2-FS!$D$2)/365))&lt;=0,K56,J56)</f>
        <v>-3.0207079755902373E-2</v>
      </c>
      <c r="K57">
        <f t="shared" si="6"/>
        <v>-3.0207079755902984E-2</v>
      </c>
      <c r="L57" s="8">
        <f t="shared" si="7"/>
        <v>-3.0207079755902984E-2</v>
      </c>
    </row>
    <row r="58" spans="1:12" x14ac:dyDescent="0.25">
      <c r="A58">
        <v>55</v>
      </c>
      <c r="B58">
        <f>IF(SUMPRODUCT(FS!$D$32:$BK$32/(1+B57)^((FS!$D$2:$BK$2-FS!$D$2)/365))*SUMPRODUCT(FS!$D$32:$BK$32/(1+D57)^((FS!$D$2:$BK$2-FS!$D$2)/365))&lt;=0,B57,D57)</f>
        <v>-3.7643912323957779E-2</v>
      </c>
      <c r="C58">
        <f>IF(SUMPRODUCT(FS!$D$32:$BK$32/(1+B57)^((FS!$D$2:$BK$2-FS!$D$2)/365))*SUMPRODUCT(FS!$D$32:$BK$32/(1+D57)^((FS!$D$2:$BK$2-FS!$D$2)/365))&lt;=0,D57,C57)</f>
        <v>-3.7643912323957168E-2</v>
      </c>
      <c r="D58">
        <f t="shared" si="4"/>
        <v>-3.7643912323957474E-2</v>
      </c>
      <c r="E58">
        <f>SUMPRODUCT(FS!$D$32:$BK$32/(1+D58)^((FS!$D$2:$BK$2-FS!$D$2)/365))</f>
        <v>4.8828125E-4</v>
      </c>
      <c r="F58" s="8">
        <f t="shared" si="5"/>
        <v>-3.7643912323957474E-2</v>
      </c>
      <c r="G58">
        <f>SUMPRODUCT(FS!$D$27:$BK$27/(1+K58)^((FS!$D$2:$BK$2-FS!$D$2)/365))</f>
        <v>-2.44140625E-4</v>
      </c>
      <c r="H58">
        <v>55</v>
      </c>
      <c r="I58">
        <f>IF(SUMPRODUCT(FS!$D$27:$BK$27/(1+I57)^((FS!$D$2:$BK$2-FS!$D$2)/365))*SUMPRODUCT(FS!$D$27:$BK$27/(1+K57)^((FS!$D$2:$BK$2-FS!$D$2)/365))&lt;=0,I57,K57)</f>
        <v>-3.0207079755902984E-2</v>
      </c>
      <c r="J58">
        <f>IF(SUMPRODUCT(FS!$D$27:$BK$27/(1+I57)^((FS!$D$2:$BK$2-FS!$D$2)/365))*SUMPRODUCT(FS!$D$27:$BK$27/(1+K57)^((FS!$D$2:$BK$2-FS!$D$2)/365))&lt;=0,K57,J57)</f>
        <v>-3.0207079755902373E-2</v>
      </c>
      <c r="K58">
        <f t="shared" si="6"/>
        <v>-3.0207079755902679E-2</v>
      </c>
      <c r="L58" s="8">
        <f t="shared" si="7"/>
        <v>-3.0207079755902679E-2</v>
      </c>
    </row>
    <row r="59" spans="1:12" x14ac:dyDescent="0.25">
      <c r="A59">
        <v>56</v>
      </c>
      <c r="B59">
        <f>IF(SUMPRODUCT(FS!$D$32:$BK$32/(1+B58)^((FS!$D$2:$BK$2-FS!$D$2)/365))*SUMPRODUCT(FS!$D$32:$BK$32/(1+D58)^((FS!$D$2:$BK$2-FS!$D$2)/365))&lt;=0,B58,D58)</f>
        <v>-3.7643912323957474E-2</v>
      </c>
      <c r="C59">
        <f>IF(SUMPRODUCT(FS!$D$32:$BK$32/(1+B58)^((FS!$D$2:$BK$2-FS!$D$2)/365))*SUMPRODUCT(FS!$D$32:$BK$32/(1+D58)^((FS!$D$2:$BK$2-FS!$D$2)/365))&lt;=0,D58,C58)</f>
        <v>-3.7643912323957168E-2</v>
      </c>
      <c r="D59">
        <f t="shared" si="4"/>
        <v>-3.7643912323957321E-2</v>
      </c>
      <c r="E59">
        <f>SUMPRODUCT(FS!$D$32:$BK$32/(1+D59)^((FS!$D$2:$BK$2-FS!$D$2)/365))</f>
        <v>3.662109375E-4</v>
      </c>
      <c r="F59" s="8">
        <f t="shared" si="5"/>
        <v>-3.7643912323957321E-2</v>
      </c>
      <c r="G59">
        <f>SUMPRODUCT(FS!$D$27:$BK$27/(1+K59)^((FS!$D$2:$BK$2-FS!$D$2)/365))</f>
        <v>2.44140625E-4</v>
      </c>
      <c r="H59">
        <v>56</v>
      </c>
      <c r="I59">
        <f>IF(SUMPRODUCT(FS!$D$27:$BK$27/(1+I58)^((FS!$D$2:$BK$2-FS!$D$2)/365))*SUMPRODUCT(FS!$D$27:$BK$27/(1+K58)^((FS!$D$2:$BK$2-FS!$D$2)/365))&lt;=0,I58,K58)</f>
        <v>-3.0207079755902984E-2</v>
      </c>
      <c r="J59">
        <f>IF(SUMPRODUCT(FS!$D$27:$BK$27/(1+I58)^((FS!$D$2:$BK$2-FS!$D$2)/365))*SUMPRODUCT(FS!$D$27:$BK$27/(1+K58)^((FS!$D$2:$BK$2-FS!$D$2)/365))&lt;=0,K58,J58)</f>
        <v>-3.0207079755902679E-2</v>
      </c>
      <c r="K59">
        <f t="shared" si="6"/>
        <v>-3.0207079755902831E-2</v>
      </c>
      <c r="L59" s="8">
        <f t="shared" si="7"/>
        <v>-3.0207079755902831E-2</v>
      </c>
    </row>
    <row r="60" spans="1:12" x14ac:dyDescent="0.25">
      <c r="A60">
        <v>57</v>
      </c>
      <c r="B60">
        <f>IF(SUMPRODUCT(FS!$D$32:$BK$32/(1+B59)^((FS!$D$2:$BK$2-FS!$D$2)/365))*SUMPRODUCT(FS!$D$32:$BK$32/(1+D59)^((FS!$D$2:$BK$2-FS!$D$2)/365))&lt;=0,B59,D59)</f>
        <v>-3.7643912323957321E-2</v>
      </c>
      <c r="C60">
        <f>IF(SUMPRODUCT(FS!$D$32:$BK$32/(1+B59)^((FS!$D$2:$BK$2-FS!$D$2)/365))*SUMPRODUCT(FS!$D$32:$BK$32/(1+D59)^((FS!$D$2:$BK$2-FS!$D$2)/365))&lt;=0,D59,C59)</f>
        <v>-3.7643912323957168E-2</v>
      </c>
      <c r="D60">
        <f t="shared" si="4"/>
        <v>-3.7643912323957245E-2</v>
      </c>
      <c r="E60">
        <f>SUMPRODUCT(FS!$D$32:$BK$32/(1+D60)^((FS!$D$2:$BK$2-FS!$D$2)/365))</f>
        <v>1.8310546875E-4</v>
      </c>
      <c r="F60" s="8">
        <f t="shared" si="5"/>
        <v>-3.7643912323957245E-2</v>
      </c>
      <c r="G60">
        <f>SUMPRODUCT(FS!$D$27:$BK$27/(1+K60)^((FS!$D$2:$BK$2-FS!$D$2)/365))</f>
        <v>0</v>
      </c>
      <c r="H60">
        <v>57</v>
      </c>
      <c r="I60">
        <f>IF(SUMPRODUCT(FS!$D$27:$BK$27/(1+I59)^((FS!$D$2:$BK$2-FS!$D$2)/365))*SUMPRODUCT(FS!$D$27:$BK$27/(1+K59)^((FS!$D$2:$BK$2-FS!$D$2)/365))&lt;=0,I59,K59)</f>
        <v>-3.0207079755902831E-2</v>
      </c>
      <c r="J60">
        <f>IF(SUMPRODUCT(FS!$D$27:$BK$27/(1+I59)^((FS!$D$2:$BK$2-FS!$D$2)/365))*SUMPRODUCT(FS!$D$27:$BK$27/(1+K59)^((FS!$D$2:$BK$2-FS!$D$2)/365))&lt;=0,K59,J59)</f>
        <v>-3.0207079755902679E-2</v>
      </c>
      <c r="K60">
        <f t="shared" si="6"/>
        <v>-3.0207079755902755E-2</v>
      </c>
      <c r="L60" s="8">
        <f t="shared" si="7"/>
        <v>-3.0207079755902755E-2</v>
      </c>
    </row>
    <row r="61" spans="1:12" x14ac:dyDescent="0.25">
      <c r="A61">
        <v>58</v>
      </c>
      <c r="B61">
        <f>IF(SUMPRODUCT(FS!$D$32:$BK$32/(1+B60)^((FS!$D$2:$BK$2-FS!$D$2)/365))*SUMPRODUCT(FS!$D$32:$BK$32/(1+D60)^((FS!$D$2:$BK$2-FS!$D$2)/365))&lt;=0,B60,D60)</f>
        <v>-3.7643912323957245E-2</v>
      </c>
      <c r="C61">
        <f>IF(SUMPRODUCT(FS!$D$32:$BK$32/(1+B60)^((FS!$D$2:$BK$2-FS!$D$2)/365))*SUMPRODUCT(FS!$D$32:$BK$32/(1+D60)^((FS!$D$2:$BK$2-FS!$D$2)/365))&lt;=0,D60,C60)</f>
        <v>-3.7643912323957168E-2</v>
      </c>
      <c r="D61">
        <f t="shared" si="4"/>
        <v>-3.764391232395721E-2</v>
      </c>
      <c r="E61">
        <f>SUMPRODUCT(FS!$D$32:$BK$32/(1+D61)^((FS!$D$2:$BK$2-FS!$D$2)/365))</f>
        <v>1.8310546875E-4</v>
      </c>
      <c r="F61" s="8">
        <f t="shared" si="5"/>
        <v>-3.764391232395721E-2</v>
      </c>
      <c r="G61">
        <f>SUMPRODUCT(FS!$D$27:$BK$27/(1+K61)^((FS!$D$2:$BK$2-FS!$D$2)/365))</f>
        <v>0</v>
      </c>
      <c r="H61">
        <v>58</v>
      </c>
      <c r="I61">
        <f>IF(SUMPRODUCT(FS!$D$27:$BK$27/(1+I60)^((FS!$D$2:$BK$2-FS!$D$2)/365))*SUMPRODUCT(FS!$D$27:$BK$27/(1+K60)^((FS!$D$2:$BK$2-FS!$D$2)/365))&lt;=0,I60,K60)</f>
        <v>-3.0207079755902831E-2</v>
      </c>
      <c r="J61">
        <f>IF(SUMPRODUCT(FS!$D$27:$BK$27/(1+I60)^((FS!$D$2:$BK$2-FS!$D$2)/365))*SUMPRODUCT(FS!$D$27:$BK$27/(1+K60)^((FS!$D$2:$BK$2-FS!$D$2)/365))&lt;=0,K60,J60)</f>
        <v>-3.0207079755902755E-2</v>
      </c>
      <c r="K61">
        <f t="shared" si="6"/>
        <v>-3.0207079755902793E-2</v>
      </c>
      <c r="L61" s="8">
        <f t="shared" si="7"/>
        <v>-3.0207079755902793E-2</v>
      </c>
    </row>
    <row r="62" spans="1:12" x14ac:dyDescent="0.25">
      <c r="A62">
        <v>59</v>
      </c>
      <c r="B62">
        <f>IF(SUMPRODUCT(FS!$D$32:$BK$32/(1+B61)^((FS!$D$2:$BK$2-FS!$D$2)/365))*SUMPRODUCT(FS!$D$32:$BK$32/(1+D61)^((FS!$D$2:$BK$2-FS!$D$2)/365))&lt;=0,B61,D61)</f>
        <v>-3.764391232395721E-2</v>
      </c>
      <c r="C62">
        <f>IF(SUMPRODUCT(FS!$D$32:$BK$32/(1+B61)^((FS!$D$2:$BK$2-FS!$D$2)/365))*SUMPRODUCT(FS!$D$32:$BK$32/(1+D61)^((FS!$D$2:$BK$2-FS!$D$2)/365))&lt;=0,D61,C61)</f>
        <v>-3.7643912323957168E-2</v>
      </c>
      <c r="D62">
        <f t="shared" si="4"/>
        <v>-3.7643912323957189E-2</v>
      </c>
      <c r="E62">
        <f>SUMPRODUCT(FS!$D$32:$BK$32/(1+D62)^((FS!$D$2:$BK$2-FS!$D$2)/365))</f>
        <v>0</v>
      </c>
      <c r="F62" s="8">
        <f t="shared" si="5"/>
        <v>-3.7643912323957189E-2</v>
      </c>
      <c r="G62">
        <f>SUMPRODUCT(FS!$D$27:$BK$27/(1+K62)^((FS!$D$2:$BK$2-FS!$D$2)/365))</f>
        <v>2.44140625E-4</v>
      </c>
      <c r="H62">
        <v>59</v>
      </c>
      <c r="I62">
        <f>IF(SUMPRODUCT(FS!$D$27:$BK$27/(1+I61)^((FS!$D$2:$BK$2-FS!$D$2)/365))*SUMPRODUCT(FS!$D$27:$BK$27/(1+K61)^((FS!$D$2:$BK$2-FS!$D$2)/365))&lt;=0,I61,K61)</f>
        <v>-3.0207079755902831E-2</v>
      </c>
      <c r="J62">
        <f>IF(SUMPRODUCT(FS!$D$27:$BK$27/(1+I61)^((FS!$D$2:$BK$2-FS!$D$2)/365))*SUMPRODUCT(FS!$D$27:$BK$27/(1+K61)^((FS!$D$2:$BK$2-FS!$D$2)/365))&lt;=0,K61,J61)</f>
        <v>-3.0207079755902793E-2</v>
      </c>
      <c r="K62">
        <f t="shared" si="6"/>
        <v>-3.020707975590281E-2</v>
      </c>
      <c r="L62" s="8">
        <f t="shared" si="7"/>
        <v>-3.020707975590281E-2</v>
      </c>
    </row>
    <row r="63" spans="1:12" x14ac:dyDescent="0.25">
      <c r="A63">
        <v>60</v>
      </c>
      <c r="B63">
        <f>IF(SUMPRODUCT(FS!$D$32:$BK$32/(1+B62)^((FS!$D$2:$BK$2-FS!$D$2)/365))*SUMPRODUCT(FS!$D$32:$BK$32/(1+D62)^((FS!$D$2:$BK$2-FS!$D$2)/365))&lt;=0,B62,D62)</f>
        <v>-3.764391232395721E-2</v>
      </c>
      <c r="C63">
        <f>IF(SUMPRODUCT(FS!$D$32:$BK$32/(1+B62)^((FS!$D$2:$BK$2-FS!$D$2)/365))*SUMPRODUCT(FS!$D$32:$BK$32/(1+D62)^((FS!$D$2:$BK$2-FS!$D$2)/365))&lt;=0,D62,C62)</f>
        <v>-3.7643912323957189E-2</v>
      </c>
      <c r="D63">
        <f t="shared" si="4"/>
        <v>-3.7643912323957196E-2</v>
      </c>
      <c r="E63">
        <f>SUMPRODUCT(FS!$D$32:$BK$32/(1+D63)^((FS!$D$2:$BK$2-FS!$D$2)/365))</f>
        <v>0</v>
      </c>
      <c r="F63" s="8">
        <f t="shared" si="5"/>
        <v>-3.7643912323957196E-2</v>
      </c>
      <c r="G63">
        <f>SUMPRODUCT(FS!$D$27:$BK$27/(1+K63)^((FS!$D$2:$BK$2-FS!$D$2)/365))</f>
        <v>0</v>
      </c>
      <c r="H63">
        <v>60</v>
      </c>
      <c r="I63">
        <f>IF(SUMPRODUCT(FS!$D$27:$BK$27/(1+I62)^((FS!$D$2:$BK$2-FS!$D$2)/365))*SUMPRODUCT(FS!$D$27:$BK$27/(1+K62)^((FS!$D$2:$BK$2-FS!$D$2)/365))&lt;=0,I62,K62)</f>
        <v>-3.020707975590281E-2</v>
      </c>
      <c r="J63">
        <f>IF(SUMPRODUCT(FS!$D$27:$BK$27/(1+I62)^((FS!$D$2:$BK$2-FS!$D$2)/365))*SUMPRODUCT(FS!$D$27:$BK$27/(1+K62)^((FS!$D$2:$BK$2-FS!$D$2)/365))&lt;=0,K62,J62)</f>
        <v>-3.0207079755902793E-2</v>
      </c>
      <c r="K63">
        <f t="shared" si="6"/>
        <v>-3.0207079755902803E-2</v>
      </c>
      <c r="L63" s="8">
        <f t="shared" si="7"/>
        <v>-3.0207079755902803E-2</v>
      </c>
    </row>
    <row r="64" spans="1:12" x14ac:dyDescent="0.25">
      <c r="A64">
        <v>61</v>
      </c>
      <c r="B64">
        <f>IF(SUMPRODUCT(FS!$D$32:$BK$32/(1+B63)^((FS!$D$2:$BK$2-FS!$D$2)/365))*SUMPRODUCT(FS!$D$32:$BK$32/(1+D63)^((FS!$D$2:$BK$2-FS!$D$2)/365))&lt;=0,B63,D63)</f>
        <v>-3.764391232395721E-2</v>
      </c>
      <c r="C64">
        <f>IF(SUMPRODUCT(FS!$D$32:$BK$32/(1+B63)^((FS!$D$2:$BK$2-FS!$D$2)/365))*SUMPRODUCT(FS!$D$32:$BK$32/(1+D63)^((FS!$D$2:$BK$2-FS!$D$2)/365))&lt;=0,D63,C63)</f>
        <v>-3.7643912323957196E-2</v>
      </c>
      <c r="D64">
        <f t="shared" si="4"/>
        <v>-3.7643912323957203E-2</v>
      </c>
      <c r="E64">
        <f>SUMPRODUCT(FS!$D$32:$BK$32/(1+D64)^((FS!$D$2:$BK$2-FS!$D$2)/365))</f>
        <v>1.8310546875E-4</v>
      </c>
      <c r="F64" s="8">
        <f t="shared" si="5"/>
        <v>-3.7643912323957203E-2</v>
      </c>
      <c r="G64">
        <f>SUMPRODUCT(FS!$D$27:$BK$27/(1+K64)^((FS!$D$2:$BK$2-FS!$D$2)/365))</f>
        <v>0</v>
      </c>
      <c r="H64">
        <v>61</v>
      </c>
      <c r="I64">
        <f>IF(SUMPRODUCT(FS!$D$27:$BK$27/(1+I63)^((FS!$D$2:$BK$2-FS!$D$2)/365))*SUMPRODUCT(FS!$D$27:$BK$27/(1+K63)^((FS!$D$2:$BK$2-FS!$D$2)/365))&lt;=0,I63,K63)</f>
        <v>-3.020707975590281E-2</v>
      </c>
      <c r="J64">
        <f>IF(SUMPRODUCT(FS!$D$27:$BK$27/(1+I63)^((FS!$D$2:$BK$2-FS!$D$2)/365))*SUMPRODUCT(FS!$D$27:$BK$27/(1+K63)^((FS!$D$2:$BK$2-FS!$D$2)/365))&lt;=0,K63,J63)</f>
        <v>-3.0207079755902803E-2</v>
      </c>
      <c r="K64">
        <f t="shared" si="6"/>
        <v>-3.0207079755902807E-2</v>
      </c>
      <c r="L64" s="8">
        <f t="shared" si="7"/>
        <v>-3.0207079755902807E-2</v>
      </c>
    </row>
    <row r="65" spans="1:12" x14ac:dyDescent="0.25">
      <c r="A65">
        <v>62</v>
      </c>
      <c r="B65">
        <f>IF(SUMPRODUCT(FS!$D$32:$BK$32/(1+B64)^((FS!$D$2:$BK$2-FS!$D$2)/365))*SUMPRODUCT(FS!$D$32:$BK$32/(1+D64)^((FS!$D$2:$BK$2-FS!$D$2)/365))&lt;=0,B64,D64)</f>
        <v>-3.7643912323957203E-2</v>
      </c>
      <c r="C65">
        <f>IF(SUMPRODUCT(FS!$D$32:$BK$32/(1+B64)^((FS!$D$2:$BK$2-FS!$D$2)/365))*SUMPRODUCT(FS!$D$32:$BK$32/(1+D64)^((FS!$D$2:$BK$2-FS!$D$2)/365))&lt;=0,D64,C64)</f>
        <v>-3.7643912323957196E-2</v>
      </c>
      <c r="D65">
        <f t="shared" si="4"/>
        <v>-3.7643912323957196E-2</v>
      </c>
      <c r="E65">
        <f>SUMPRODUCT(FS!$D$32:$BK$32/(1+D65)^((FS!$D$2:$BK$2-FS!$D$2)/365))</f>
        <v>0</v>
      </c>
      <c r="F65" s="8">
        <f t="shared" si="5"/>
        <v>-3.7643912323957196E-2</v>
      </c>
      <c r="G65">
        <f>SUMPRODUCT(FS!$D$27:$BK$27/(1+K65)^((FS!$D$2:$BK$2-FS!$D$2)/365))</f>
        <v>2.44140625E-4</v>
      </c>
      <c r="H65">
        <v>62</v>
      </c>
      <c r="I65">
        <f>IF(SUMPRODUCT(FS!$D$27:$BK$27/(1+I64)^((FS!$D$2:$BK$2-FS!$D$2)/365))*SUMPRODUCT(FS!$D$27:$BK$27/(1+K64)^((FS!$D$2:$BK$2-FS!$D$2)/365))&lt;=0,I64,K64)</f>
        <v>-3.020707975590281E-2</v>
      </c>
      <c r="J65">
        <f>IF(SUMPRODUCT(FS!$D$27:$BK$27/(1+I64)^((FS!$D$2:$BK$2-FS!$D$2)/365))*SUMPRODUCT(FS!$D$27:$BK$27/(1+K64)^((FS!$D$2:$BK$2-FS!$D$2)/365))&lt;=0,K64,J64)</f>
        <v>-3.0207079755902807E-2</v>
      </c>
      <c r="K65">
        <f t="shared" si="6"/>
        <v>-3.020707975590281E-2</v>
      </c>
      <c r="L65" s="8">
        <f t="shared" si="7"/>
        <v>-3.020707975590281E-2</v>
      </c>
    </row>
    <row r="66" spans="1:12" x14ac:dyDescent="0.25">
      <c r="A66">
        <v>63</v>
      </c>
      <c r="B66">
        <f>IF(SUMPRODUCT(FS!$D$32:$BK$32/(1+B65)^((FS!$D$2:$BK$2-FS!$D$2)/365))*SUMPRODUCT(FS!$D$32:$BK$32/(1+D65)^((FS!$D$2:$BK$2-FS!$D$2)/365))&lt;=0,B65,D65)</f>
        <v>-3.7643912323957203E-2</v>
      </c>
      <c r="C66">
        <f>IF(SUMPRODUCT(FS!$D$32:$BK$32/(1+B65)^((FS!$D$2:$BK$2-FS!$D$2)/365))*SUMPRODUCT(FS!$D$32:$BK$32/(1+D65)^((FS!$D$2:$BK$2-FS!$D$2)/365))&lt;=0,D65,C65)</f>
        <v>-3.7643912323957196E-2</v>
      </c>
      <c r="D66">
        <f t="shared" si="4"/>
        <v>-3.7643912323957196E-2</v>
      </c>
      <c r="E66">
        <f>SUMPRODUCT(FS!$D$32:$BK$32/(1+D66)^((FS!$D$2:$BK$2-FS!$D$2)/365))</f>
        <v>0</v>
      </c>
      <c r="F66" s="8">
        <f t="shared" si="5"/>
        <v>-3.7643912323957196E-2</v>
      </c>
      <c r="G66">
        <f>SUMPRODUCT(FS!$D$27:$BK$27/(1+K66)^((FS!$D$2:$BK$2-FS!$D$2)/365))</f>
        <v>2.44140625E-4</v>
      </c>
      <c r="H66">
        <v>63</v>
      </c>
      <c r="I66">
        <f>IF(SUMPRODUCT(FS!$D$27:$BK$27/(1+I65)^((FS!$D$2:$BK$2-FS!$D$2)/365))*SUMPRODUCT(FS!$D$27:$BK$27/(1+K65)^((FS!$D$2:$BK$2-FS!$D$2)/365))&lt;=0,I65,K65)</f>
        <v>-3.020707975590281E-2</v>
      </c>
      <c r="J66">
        <f>IF(SUMPRODUCT(FS!$D$27:$BK$27/(1+I65)^((FS!$D$2:$BK$2-FS!$D$2)/365))*SUMPRODUCT(FS!$D$27:$BK$27/(1+K65)^((FS!$D$2:$BK$2-FS!$D$2)/365))&lt;=0,K65,J65)</f>
        <v>-3.0207079755902807E-2</v>
      </c>
      <c r="K66">
        <f t="shared" si="6"/>
        <v>-3.020707975590281E-2</v>
      </c>
      <c r="L66" s="8">
        <f t="shared" si="7"/>
        <v>-3.020707975590281E-2</v>
      </c>
    </row>
    <row r="67" spans="1:12" x14ac:dyDescent="0.25">
      <c r="A67">
        <v>64</v>
      </c>
      <c r="B67">
        <f>IF(SUMPRODUCT(FS!$D$32:$BK$32/(1+B66)^((FS!$D$2:$BK$2-FS!$D$2)/365))*SUMPRODUCT(FS!$D$32:$BK$32/(1+D66)^((FS!$D$2:$BK$2-FS!$D$2)/365))&lt;=0,B66,D66)</f>
        <v>-3.7643912323957203E-2</v>
      </c>
      <c r="C67">
        <f>IF(SUMPRODUCT(FS!$D$32:$BK$32/(1+B66)^((FS!$D$2:$BK$2-FS!$D$2)/365))*SUMPRODUCT(FS!$D$32:$BK$32/(1+D66)^((FS!$D$2:$BK$2-FS!$D$2)/365))&lt;=0,D66,C66)</f>
        <v>-3.7643912323957196E-2</v>
      </c>
      <c r="D67">
        <f t="shared" si="4"/>
        <v>-3.7643912323957196E-2</v>
      </c>
      <c r="E67">
        <f>SUMPRODUCT(FS!$D$32:$BK$32/(1+D67)^((FS!$D$2:$BK$2-FS!$D$2)/365))</f>
        <v>0</v>
      </c>
      <c r="F67" s="8">
        <f t="shared" si="5"/>
        <v>-3.7643912323957196E-2</v>
      </c>
      <c r="G67">
        <f>SUMPRODUCT(FS!$D$27:$BK$27/(1+K67)^((FS!$D$2:$BK$2-FS!$D$2)/365))</f>
        <v>2.44140625E-4</v>
      </c>
      <c r="H67">
        <v>64</v>
      </c>
      <c r="I67">
        <f>IF(SUMPRODUCT(FS!$D$27:$BK$27/(1+I66)^((FS!$D$2:$BK$2-FS!$D$2)/365))*SUMPRODUCT(FS!$D$27:$BK$27/(1+K66)^((FS!$D$2:$BK$2-FS!$D$2)/365))&lt;=0,I66,K66)</f>
        <v>-3.020707975590281E-2</v>
      </c>
      <c r="J67">
        <f>IF(SUMPRODUCT(FS!$D$27:$BK$27/(1+I66)^((FS!$D$2:$BK$2-FS!$D$2)/365))*SUMPRODUCT(FS!$D$27:$BK$27/(1+K66)^((FS!$D$2:$BK$2-FS!$D$2)/365))&lt;=0,K66,J66)</f>
        <v>-3.0207079755902807E-2</v>
      </c>
      <c r="K67">
        <f t="shared" si="6"/>
        <v>-3.020707975590281E-2</v>
      </c>
      <c r="L67" s="8">
        <f t="shared" si="7"/>
        <v>-3.020707975590281E-2</v>
      </c>
    </row>
    <row r="68" spans="1:12" x14ac:dyDescent="0.25">
      <c r="A68">
        <v>65</v>
      </c>
      <c r="B68">
        <f>IF(SUMPRODUCT(FS!$D$32:$BK$32/(1+B67)^((FS!$D$2:$BK$2-FS!$D$2)/365))*SUMPRODUCT(FS!$D$32:$BK$32/(1+D67)^((FS!$D$2:$BK$2-FS!$D$2)/365))&lt;=0,B67,D67)</f>
        <v>-3.7643912323957203E-2</v>
      </c>
      <c r="C68">
        <f>IF(SUMPRODUCT(FS!$D$32:$BK$32/(1+B67)^((FS!$D$2:$BK$2-FS!$D$2)/365))*SUMPRODUCT(FS!$D$32:$BK$32/(1+D67)^((FS!$D$2:$BK$2-FS!$D$2)/365))&lt;=0,D67,C67)</f>
        <v>-3.7643912323957196E-2</v>
      </c>
      <c r="D68">
        <f t="shared" ref="D68:D84" si="8">(B68+C68)/2</f>
        <v>-3.7643912323957196E-2</v>
      </c>
      <c r="E68">
        <f>SUMPRODUCT(FS!$D$32:$BK$32/(1+D68)^((FS!$D$2:$BK$2-FS!$D$2)/365))</f>
        <v>0</v>
      </c>
      <c r="F68" s="8">
        <f t="shared" ref="F68:F84" si="9">D68</f>
        <v>-3.7643912323957196E-2</v>
      </c>
      <c r="G68">
        <f>SUMPRODUCT(FS!$D$27:$BK$27/(1+K68)^((FS!$D$2:$BK$2-FS!$D$2)/365))</f>
        <v>2.44140625E-4</v>
      </c>
      <c r="H68">
        <v>65</v>
      </c>
      <c r="I68">
        <f>IF(SUMPRODUCT(FS!$D$27:$BK$27/(1+I67)^((FS!$D$2:$BK$2-FS!$D$2)/365))*SUMPRODUCT(FS!$D$27:$BK$27/(1+K67)^((FS!$D$2:$BK$2-FS!$D$2)/365))&lt;=0,I67,K67)</f>
        <v>-3.020707975590281E-2</v>
      </c>
      <c r="J68">
        <f>IF(SUMPRODUCT(FS!$D$27:$BK$27/(1+I67)^((FS!$D$2:$BK$2-FS!$D$2)/365))*SUMPRODUCT(FS!$D$27:$BK$27/(1+K67)^((FS!$D$2:$BK$2-FS!$D$2)/365))&lt;=0,K67,J67)</f>
        <v>-3.0207079755902807E-2</v>
      </c>
      <c r="K68">
        <f t="shared" ref="K68:K84" si="10">(I68+J68)/2</f>
        <v>-3.020707975590281E-2</v>
      </c>
      <c r="L68" s="8">
        <f t="shared" ref="L68:L84" si="11">K68</f>
        <v>-3.020707975590281E-2</v>
      </c>
    </row>
    <row r="69" spans="1:12" x14ac:dyDescent="0.25">
      <c r="A69">
        <v>66</v>
      </c>
      <c r="B69">
        <f>IF(SUMPRODUCT(FS!$D$32:$BK$32/(1+B68)^((FS!$D$2:$BK$2-FS!$D$2)/365))*SUMPRODUCT(FS!$D$32:$BK$32/(1+D68)^((FS!$D$2:$BK$2-FS!$D$2)/365))&lt;=0,B68,D68)</f>
        <v>-3.7643912323957203E-2</v>
      </c>
      <c r="C69">
        <f>IF(SUMPRODUCT(FS!$D$32:$BK$32/(1+B68)^((FS!$D$2:$BK$2-FS!$D$2)/365))*SUMPRODUCT(FS!$D$32:$BK$32/(1+D68)^((FS!$D$2:$BK$2-FS!$D$2)/365))&lt;=0,D68,C68)</f>
        <v>-3.7643912323957196E-2</v>
      </c>
      <c r="D69">
        <f t="shared" si="8"/>
        <v>-3.7643912323957196E-2</v>
      </c>
      <c r="E69">
        <f>SUMPRODUCT(FS!$D$32:$BK$32/(1+D69)^((FS!$D$2:$BK$2-FS!$D$2)/365))</f>
        <v>0</v>
      </c>
      <c r="F69" s="8">
        <f t="shared" si="9"/>
        <v>-3.7643912323957196E-2</v>
      </c>
      <c r="G69">
        <f>SUMPRODUCT(FS!$D$27:$BK$27/(1+K69)^((FS!$D$2:$BK$2-FS!$D$2)/365))</f>
        <v>2.44140625E-4</v>
      </c>
      <c r="H69">
        <v>66</v>
      </c>
      <c r="I69">
        <f>IF(SUMPRODUCT(FS!$D$27:$BK$27/(1+I68)^((FS!$D$2:$BK$2-FS!$D$2)/365))*SUMPRODUCT(FS!$D$27:$BK$27/(1+K68)^((FS!$D$2:$BK$2-FS!$D$2)/365))&lt;=0,I68,K68)</f>
        <v>-3.020707975590281E-2</v>
      </c>
      <c r="J69">
        <f>IF(SUMPRODUCT(FS!$D$27:$BK$27/(1+I68)^((FS!$D$2:$BK$2-FS!$D$2)/365))*SUMPRODUCT(FS!$D$27:$BK$27/(1+K68)^((FS!$D$2:$BK$2-FS!$D$2)/365))&lt;=0,K68,J68)</f>
        <v>-3.0207079755902807E-2</v>
      </c>
      <c r="K69">
        <f t="shared" si="10"/>
        <v>-3.020707975590281E-2</v>
      </c>
      <c r="L69" s="8">
        <f t="shared" si="11"/>
        <v>-3.020707975590281E-2</v>
      </c>
    </row>
    <row r="70" spans="1:12" x14ac:dyDescent="0.25">
      <c r="A70">
        <v>67</v>
      </c>
      <c r="B70">
        <f>IF(SUMPRODUCT(FS!$D$32:$BK$32/(1+B69)^((FS!$D$2:$BK$2-FS!$D$2)/365))*SUMPRODUCT(FS!$D$32:$BK$32/(1+D69)^((FS!$D$2:$BK$2-FS!$D$2)/365))&lt;=0,B69,D69)</f>
        <v>-3.7643912323957203E-2</v>
      </c>
      <c r="C70">
        <f>IF(SUMPRODUCT(FS!$D$32:$BK$32/(1+B69)^((FS!$D$2:$BK$2-FS!$D$2)/365))*SUMPRODUCT(FS!$D$32:$BK$32/(1+D69)^((FS!$D$2:$BK$2-FS!$D$2)/365))&lt;=0,D69,C69)</f>
        <v>-3.7643912323957196E-2</v>
      </c>
      <c r="D70">
        <f t="shared" si="8"/>
        <v>-3.7643912323957196E-2</v>
      </c>
      <c r="E70">
        <f>SUMPRODUCT(FS!$D$32:$BK$32/(1+D70)^((FS!$D$2:$BK$2-FS!$D$2)/365))</f>
        <v>0</v>
      </c>
      <c r="F70" s="8">
        <f t="shared" si="9"/>
        <v>-3.7643912323957196E-2</v>
      </c>
      <c r="G70">
        <f>SUMPRODUCT(FS!$D$27:$BK$27/(1+K70)^((FS!$D$2:$BK$2-FS!$D$2)/365))</f>
        <v>2.44140625E-4</v>
      </c>
      <c r="H70">
        <v>67</v>
      </c>
      <c r="I70">
        <f>IF(SUMPRODUCT(FS!$D$27:$BK$27/(1+I69)^((FS!$D$2:$BK$2-FS!$D$2)/365))*SUMPRODUCT(FS!$D$27:$BK$27/(1+K69)^((FS!$D$2:$BK$2-FS!$D$2)/365))&lt;=0,I69,K69)</f>
        <v>-3.020707975590281E-2</v>
      </c>
      <c r="J70">
        <f>IF(SUMPRODUCT(FS!$D$27:$BK$27/(1+I69)^((FS!$D$2:$BK$2-FS!$D$2)/365))*SUMPRODUCT(FS!$D$27:$BK$27/(1+K69)^((FS!$D$2:$BK$2-FS!$D$2)/365))&lt;=0,K69,J69)</f>
        <v>-3.0207079755902807E-2</v>
      </c>
      <c r="K70">
        <f t="shared" si="10"/>
        <v>-3.020707975590281E-2</v>
      </c>
      <c r="L70" s="8">
        <f t="shared" si="11"/>
        <v>-3.020707975590281E-2</v>
      </c>
    </row>
    <row r="71" spans="1:12" x14ac:dyDescent="0.25">
      <c r="A71">
        <v>68</v>
      </c>
      <c r="B71">
        <f>IF(SUMPRODUCT(FS!$D$32:$BK$32/(1+B70)^((FS!$D$2:$BK$2-FS!$D$2)/365))*SUMPRODUCT(FS!$D$32:$BK$32/(1+D70)^((FS!$D$2:$BK$2-FS!$D$2)/365))&lt;=0,B70,D70)</f>
        <v>-3.7643912323957203E-2</v>
      </c>
      <c r="C71">
        <f>IF(SUMPRODUCT(FS!$D$32:$BK$32/(1+B70)^((FS!$D$2:$BK$2-FS!$D$2)/365))*SUMPRODUCT(FS!$D$32:$BK$32/(1+D70)^((FS!$D$2:$BK$2-FS!$D$2)/365))&lt;=0,D70,C70)</f>
        <v>-3.7643912323957196E-2</v>
      </c>
      <c r="D71">
        <f t="shared" si="8"/>
        <v>-3.7643912323957196E-2</v>
      </c>
      <c r="E71">
        <f>SUMPRODUCT(FS!$D$32:$BK$32/(1+D71)^((FS!$D$2:$BK$2-FS!$D$2)/365))</f>
        <v>0</v>
      </c>
      <c r="F71" s="8">
        <f t="shared" si="9"/>
        <v>-3.7643912323957196E-2</v>
      </c>
      <c r="G71">
        <f>SUMPRODUCT(FS!$D$27:$BK$27/(1+K71)^((FS!$D$2:$BK$2-FS!$D$2)/365))</f>
        <v>2.44140625E-4</v>
      </c>
      <c r="H71">
        <v>68</v>
      </c>
      <c r="I71">
        <f>IF(SUMPRODUCT(FS!$D$27:$BK$27/(1+I70)^((FS!$D$2:$BK$2-FS!$D$2)/365))*SUMPRODUCT(FS!$D$27:$BK$27/(1+K70)^((FS!$D$2:$BK$2-FS!$D$2)/365))&lt;=0,I70,K70)</f>
        <v>-3.020707975590281E-2</v>
      </c>
      <c r="J71">
        <f>IF(SUMPRODUCT(FS!$D$27:$BK$27/(1+I70)^((FS!$D$2:$BK$2-FS!$D$2)/365))*SUMPRODUCT(FS!$D$27:$BK$27/(1+K70)^((FS!$D$2:$BK$2-FS!$D$2)/365))&lt;=0,K70,J70)</f>
        <v>-3.0207079755902807E-2</v>
      </c>
      <c r="K71">
        <f t="shared" si="10"/>
        <v>-3.020707975590281E-2</v>
      </c>
      <c r="L71" s="8">
        <f t="shared" si="11"/>
        <v>-3.020707975590281E-2</v>
      </c>
    </row>
    <row r="72" spans="1:12" x14ac:dyDescent="0.25">
      <c r="A72">
        <v>69</v>
      </c>
      <c r="B72">
        <f>IF(SUMPRODUCT(FS!$D$32:$BK$32/(1+B71)^((FS!$D$2:$BK$2-FS!$D$2)/365))*SUMPRODUCT(FS!$D$32:$BK$32/(1+D71)^((FS!$D$2:$BK$2-FS!$D$2)/365))&lt;=0,B71,D71)</f>
        <v>-3.7643912323957203E-2</v>
      </c>
      <c r="C72">
        <f>IF(SUMPRODUCT(FS!$D$32:$BK$32/(1+B71)^((FS!$D$2:$BK$2-FS!$D$2)/365))*SUMPRODUCT(FS!$D$32:$BK$32/(1+D71)^((FS!$D$2:$BK$2-FS!$D$2)/365))&lt;=0,D71,C71)</f>
        <v>-3.7643912323957196E-2</v>
      </c>
      <c r="D72">
        <f t="shared" si="8"/>
        <v>-3.7643912323957196E-2</v>
      </c>
      <c r="E72">
        <f>SUMPRODUCT(FS!$D$32:$BK$32/(1+D72)^((FS!$D$2:$BK$2-FS!$D$2)/365))</f>
        <v>0</v>
      </c>
      <c r="F72" s="8">
        <f t="shared" si="9"/>
        <v>-3.7643912323957196E-2</v>
      </c>
      <c r="G72">
        <f>SUMPRODUCT(FS!$D$27:$BK$27/(1+K72)^((FS!$D$2:$BK$2-FS!$D$2)/365))</f>
        <v>2.44140625E-4</v>
      </c>
      <c r="H72">
        <v>69</v>
      </c>
      <c r="I72">
        <f>IF(SUMPRODUCT(FS!$D$27:$BK$27/(1+I71)^((FS!$D$2:$BK$2-FS!$D$2)/365))*SUMPRODUCT(FS!$D$27:$BK$27/(1+K71)^((FS!$D$2:$BK$2-FS!$D$2)/365))&lt;=0,I71,K71)</f>
        <v>-3.020707975590281E-2</v>
      </c>
      <c r="J72">
        <f>IF(SUMPRODUCT(FS!$D$27:$BK$27/(1+I71)^((FS!$D$2:$BK$2-FS!$D$2)/365))*SUMPRODUCT(FS!$D$27:$BK$27/(1+K71)^((FS!$D$2:$BK$2-FS!$D$2)/365))&lt;=0,K71,J71)</f>
        <v>-3.0207079755902807E-2</v>
      </c>
      <c r="K72">
        <f t="shared" si="10"/>
        <v>-3.020707975590281E-2</v>
      </c>
      <c r="L72" s="8">
        <f t="shared" si="11"/>
        <v>-3.020707975590281E-2</v>
      </c>
    </row>
    <row r="73" spans="1:12" x14ac:dyDescent="0.25">
      <c r="A73">
        <v>70</v>
      </c>
      <c r="B73">
        <f>IF(SUMPRODUCT(FS!$D$32:$BK$32/(1+B72)^((FS!$D$2:$BK$2-FS!$D$2)/365))*SUMPRODUCT(FS!$D$32:$BK$32/(1+D72)^((FS!$D$2:$BK$2-FS!$D$2)/365))&lt;=0,B72,D72)</f>
        <v>-3.7643912323957203E-2</v>
      </c>
      <c r="C73">
        <f>IF(SUMPRODUCT(FS!$D$32:$BK$32/(1+B72)^((FS!$D$2:$BK$2-FS!$D$2)/365))*SUMPRODUCT(FS!$D$32:$BK$32/(1+D72)^((FS!$D$2:$BK$2-FS!$D$2)/365))&lt;=0,D72,C72)</f>
        <v>-3.7643912323957196E-2</v>
      </c>
      <c r="D73">
        <f t="shared" si="8"/>
        <v>-3.7643912323957196E-2</v>
      </c>
      <c r="E73">
        <f>SUMPRODUCT(FS!$D$32:$BK$32/(1+D73)^((FS!$D$2:$BK$2-FS!$D$2)/365))</f>
        <v>0</v>
      </c>
      <c r="F73" s="8">
        <f t="shared" si="9"/>
        <v>-3.7643912323957196E-2</v>
      </c>
      <c r="G73">
        <f>SUMPRODUCT(FS!$D$27:$BK$27/(1+K73)^((FS!$D$2:$BK$2-FS!$D$2)/365))</f>
        <v>2.44140625E-4</v>
      </c>
      <c r="H73">
        <v>70</v>
      </c>
      <c r="I73">
        <f>IF(SUMPRODUCT(FS!$D$27:$BK$27/(1+I72)^((FS!$D$2:$BK$2-FS!$D$2)/365))*SUMPRODUCT(FS!$D$27:$BK$27/(1+K72)^((FS!$D$2:$BK$2-FS!$D$2)/365))&lt;=0,I72,K72)</f>
        <v>-3.020707975590281E-2</v>
      </c>
      <c r="J73">
        <f>IF(SUMPRODUCT(FS!$D$27:$BK$27/(1+I72)^((FS!$D$2:$BK$2-FS!$D$2)/365))*SUMPRODUCT(FS!$D$27:$BK$27/(1+K72)^((FS!$D$2:$BK$2-FS!$D$2)/365))&lt;=0,K72,J72)</f>
        <v>-3.0207079755902807E-2</v>
      </c>
      <c r="K73">
        <f t="shared" si="10"/>
        <v>-3.020707975590281E-2</v>
      </c>
      <c r="L73" s="8">
        <f t="shared" si="11"/>
        <v>-3.020707975590281E-2</v>
      </c>
    </row>
    <row r="74" spans="1:12" x14ac:dyDescent="0.25">
      <c r="A74">
        <v>71</v>
      </c>
      <c r="B74">
        <f>IF(SUMPRODUCT(FS!$D$32:$BK$32/(1+B73)^((FS!$D$2:$BK$2-FS!$D$2)/365))*SUMPRODUCT(FS!$D$32:$BK$32/(1+D73)^((FS!$D$2:$BK$2-FS!$D$2)/365))&lt;=0,B73,D73)</f>
        <v>-3.7643912323957203E-2</v>
      </c>
      <c r="C74">
        <f>IF(SUMPRODUCT(FS!$D$32:$BK$32/(1+B73)^((FS!$D$2:$BK$2-FS!$D$2)/365))*SUMPRODUCT(FS!$D$32:$BK$32/(1+D73)^((FS!$D$2:$BK$2-FS!$D$2)/365))&lt;=0,D73,C73)</f>
        <v>-3.7643912323957196E-2</v>
      </c>
      <c r="D74">
        <f t="shared" si="8"/>
        <v>-3.7643912323957196E-2</v>
      </c>
      <c r="E74">
        <f>SUMPRODUCT(FS!$D$32:$BK$32/(1+D74)^((FS!$D$2:$BK$2-FS!$D$2)/365))</f>
        <v>0</v>
      </c>
      <c r="F74" s="8">
        <f t="shared" si="9"/>
        <v>-3.7643912323957196E-2</v>
      </c>
      <c r="G74">
        <f>SUMPRODUCT(FS!$D$27:$BK$27/(1+K74)^((FS!$D$2:$BK$2-FS!$D$2)/365))</f>
        <v>2.44140625E-4</v>
      </c>
      <c r="H74">
        <v>71</v>
      </c>
      <c r="I74">
        <f>IF(SUMPRODUCT(FS!$D$27:$BK$27/(1+I73)^((FS!$D$2:$BK$2-FS!$D$2)/365))*SUMPRODUCT(FS!$D$27:$BK$27/(1+K73)^((FS!$D$2:$BK$2-FS!$D$2)/365))&lt;=0,I73,K73)</f>
        <v>-3.020707975590281E-2</v>
      </c>
      <c r="J74">
        <f>IF(SUMPRODUCT(FS!$D$27:$BK$27/(1+I73)^((FS!$D$2:$BK$2-FS!$D$2)/365))*SUMPRODUCT(FS!$D$27:$BK$27/(1+K73)^((FS!$D$2:$BK$2-FS!$D$2)/365))&lt;=0,K73,J73)</f>
        <v>-3.0207079755902807E-2</v>
      </c>
      <c r="K74">
        <f t="shared" si="10"/>
        <v>-3.020707975590281E-2</v>
      </c>
      <c r="L74" s="8">
        <f t="shared" si="11"/>
        <v>-3.020707975590281E-2</v>
      </c>
    </row>
    <row r="75" spans="1:12" x14ac:dyDescent="0.25">
      <c r="A75">
        <v>72</v>
      </c>
      <c r="B75">
        <f>IF(SUMPRODUCT(FS!$D$32:$BK$32/(1+B74)^((FS!$D$2:$BK$2-FS!$D$2)/365))*SUMPRODUCT(FS!$D$32:$BK$32/(1+D74)^((FS!$D$2:$BK$2-FS!$D$2)/365))&lt;=0,B74,D74)</f>
        <v>-3.7643912323957203E-2</v>
      </c>
      <c r="C75">
        <f>IF(SUMPRODUCT(FS!$D$32:$BK$32/(1+B74)^((FS!$D$2:$BK$2-FS!$D$2)/365))*SUMPRODUCT(FS!$D$32:$BK$32/(1+D74)^((FS!$D$2:$BK$2-FS!$D$2)/365))&lt;=0,D74,C74)</f>
        <v>-3.7643912323957196E-2</v>
      </c>
      <c r="D75">
        <f t="shared" si="8"/>
        <v>-3.7643912323957196E-2</v>
      </c>
      <c r="E75">
        <f>SUMPRODUCT(FS!$D$32:$BK$32/(1+D75)^((FS!$D$2:$BK$2-FS!$D$2)/365))</f>
        <v>0</v>
      </c>
      <c r="F75" s="8">
        <f t="shared" si="9"/>
        <v>-3.7643912323957196E-2</v>
      </c>
      <c r="G75">
        <f>SUMPRODUCT(FS!$D$27:$BK$27/(1+K75)^((FS!$D$2:$BK$2-FS!$D$2)/365))</f>
        <v>2.44140625E-4</v>
      </c>
      <c r="H75">
        <v>72</v>
      </c>
      <c r="I75">
        <f>IF(SUMPRODUCT(FS!$D$27:$BK$27/(1+I74)^((FS!$D$2:$BK$2-FS!$D$2)/365))*SUMPRODUCT(FS!$D$27:$BK$27/(1+K74)^((FS!$D$2:$BK$2-FS!$D$2)/365))&lt;=0,I74,K74)</f>
        <v>-3.020707975590281E-2</v>
      </c>
      <c r="J75">
        <f>IF(SUMPRODUCT(FS!$D$27:$BK$27/(1+I74)^((FS!$D$2:$BK$2-FS!$D$2)/365))*SUMPRODUCT(FS!$D$27:$BK$27/(1+K74)^((FS!$D$2:$BK$2-FS!$D$2)/365))&lt;=0,K74,J74)</f>
        <v>-3.0207079755902807E-2</v>
      </c>
      <c r="K75">
        <f t="shared" si="10"/>
        <v>-3.020707975590281E-2</v>
      </c>
      <c r="L75" s="8">
        <f t="shared" si="11"/>
        <v>-3.020707975590281E-2</v>
      </c>
    </row>
    <row r="76" spans="1:12" x14ac:dyDescent="0.25">
      <c r="A76">
        <v>73</v>
      </c>
      <c r="B76">
        <f>IF(SUMPRODUCT(FS!$D$32:$BK$32/(1+B75)^((FS!$D$2:$BK$2-FS!$D$2)/365))*SUMPRODUCT(FS!$D$32:$BK$32/(1+D75)^((FS!$D$2:$BK$2-FS!$D$2)/365))&lt;=0,B75,D75)</f>
        <v>-3.7643912323957203E-2</v>
      </c>
      <c r="C76">
        <f>IF(SUMPRODUCT(FS!$D$32:$BK$32/(1+B75)^((FS!$D$2:$BK$2-FS!$D$2)/365))*SUMPRODUCT(FS!$D$32:$BK$32/(1+D75)^((FS!$D$2:$BK$2-FS!$D$2)/365))&lt;=0,D75,C75)</f>
        <v>-3.7643912323957196E-2</v>
      </c>
      <c r="D76">
        <f t="shared" si="8"/>
        <v>-3.7643912323957196E-2</v>
      </c>
      <c r="E76">
        <f>SUMPRODUCT(FS!$D$32:$BK$32/(1+D76)^((FS!$D$2:$BK$2-FS!$D$2)/365))</f>
        <v>0</v>
      </c>
      <c r="F76" s="8">
        <f t="shared" si="9"/>
        <v>-3.7643912323957196E-2</v>
      </c>
      <c r="G76">
        <f>SUMPRODUCT(FS!$D$27:$BK$27/(1+K76)^((FS!$D$2:$BK$2-FS!$D$2)/365))</f>
        <v>2.44140625E-4</v>
      </c>
      <c r="H76">
        <v>73</v>
      </c>
      <c r="I76">
        <f>IF(SUMPRODUCT(FS!$D$27:$BK$27/(1+I75)^((FS!$D$2:$BK$2-FS!$D$2)/365))*SUMPRODUCT(FS!$D$27:$BK$27/(1+K75)^((FS!$D$2:$BK$2-FS!$D$2)/365))&lt;=0,I75,K75)</f>
        <v>-3.020707975590281E-2</v>
      </c>
      <c r="J76">
        <f>IF(SUMPRODUCT(FS!$D$27:$BK$27/(1+I75)^((FS!$D$2:$BK$2-FS!$D$2)/365))*SUMPRODUCT(FS!$D$27:$BK$27/(1+K75)^((FS!$D$2:$BK$2-FS!$D$2)/365))&lt;=0,K75,J75)</f>
        <v>-3.0207079755902807E-2</v>
      </c>
      <c r="K76">
        <f t="shared" si="10"/>
        <v>-3.020707975590281E-2</v>
      </c>
      <c r="L76" s="8">
        <f t="shared" si="11"/>
        <v>-3.020707975590281E-2</v>
      </c>
    </row>
    <row r="77" spans="1:12" x14ac:dyDescent="0.25">
      <c r="A77">
        <v>74</v>
      </c>
      <c r="B77">
        <f>IF(SUMPRODUCT(FS!$D$32:$BK$32/(1+B76)^((FS!$D$2:$BK$2-FS!$D$2)/365))*SUMPRODUCT(FS!$D$32:$BK$32/(1+D76)^((FS!$D$2:$BK$2-FS!$D$2)/365))&lt;=0,B76,D76)</f>
        <v>-3.7643912323957203E-2</v>
      </c>
      <c r="C77">
        <f>IF(SUMPRODUCT(FS!$D$32:$BK$32/(1+B76)^((FS!$D$2:$BK$2-FS!$D$2)/365))*SUMPRODUCT(FS!$D$32:$BK$32/(1+D76)^((FS!$D$2:$BK$2-FS!$D$2)/365))&lt;=0,D76,C76)</f>
        <v>-3.7643912323957196E-2</v>
      </c>
      <c r="D77">
        <f t="shared" si="8"/>
        <v>-3.7643912323957196E-2</v>
      </c>
      <c r="E77">
        <f>SUMPRODUCT(FS!$D$32:$BK$32/(1+D77)^((FS!$D$2:$BK$2-FS!$D$2)/365))</f>
        <v>0</v>
      </c>
      <c r="F77" s="8">
        <f t="shared" si="9"/>
        <v>-3.7643912323957196E-2</v>
      </c>
      <c r="G77">
        <f>SUMPRODUCT(FS!$D$27:$BK$27/(1+K77)^((FS!$D$2:$BK$2-FS!$D$2)/365))</f>
        <v>2.44140625E-4</v>
      </c>
      <c r="H77">
        <v>74</v>
      </c>
      <c r="I77">
        <f>IF(SUMPRODUCT(FS!$D$27:$BK$27/(1+I76)^((FS!$D$2:$BK$2-FS!$D$2)/365))*SUMPRODUCT(FS!$D$27:$BK$27/(1+K76)^((FS!$D$2:$BK$2-FS!$D$2)/365))&lt;=0,I76,K76)</f>
        <v>-3.020707975590281E-2</v>
      </c>
      <c r="J77">
        <f>IF(SUMPRODUCT(FS!$D$27:$BK$27/(1+I76)^((FS!$D$2:$BK$2-FS!$D$2)/365))*SUMPRODUCT(FS!$D$27:$BK$27/(1+K76)^((FS!$D$2:$BK$2-FS!$D$2)/365))&lt;=0,K76,J76)</f>
        <v>-3.0207079755902807E-2</v>
      </c>
      <c r="K77">
        <f t="shared" si="10"/>
        <v>-3.020707975590281E-2</v>
      </c>
      <c r="L77" s="8">
        <f t="shared" si="11"/>
        <v>-3.020707975590281E-2</v>
      </c>
    </row>
    <row r="78" spans="1:12" x14ac:dyDescent="0.25">
      <c r="A78">
        <v>75</v>
      </c>
      <c r="B78">
        <f>IF(SUMPRODUCT(FS!$D$32:$BK$32/(1+B77)^((FS!$D$2:$BK$2-FS!$D$2)/365))*SUMPRODUCT(FS!$D$32:$BK$32/(1+D77)^((FS!$D$2:$BK$2-FS!$D$2)/365))&lt;=0,B77,D77)</f>
        <v>-3.7643912323957203E-2</v>
      </c>
      <c r="C78">
        <f>IF(SUMPRODUCT(FS!$D$32:$BK$32/(1+B77)^((FS!$D$2:$BK$2-FS!$D$2)/365))*SUMPRODUCT(FS!$D$32:$BK$32/(1+D77)^((FS!$D$2:$BK$2-FS!$D$2)/365))&lt;=0,D77,C77)</f>
        <v>-3.7643912323957196E-2</v>
      </c>
      <c r="D78">
        <f t="shared" si="8"/>
        <v>-3.7643912323957196E-2</v>
      </c>
      <c r="E78">
        <f>SUMPRODUCT(FS!$D$32:$BK$32/(1+D78)^((FS!$D$2:$BK$2-FS!$D$2)/365))</f>
        <v>0</v>
      </c>
      <c r="F78" s="8">
        <f t="shared" si="9"/>
        <v>-3.7643912323957196E-2</v>
      </c>
      <c r="G78">
        <f>SUMPRODUCT(FS!$D$27:$BK$27/(1+K78)^((FS!$D$2:$BK$2-FS!$D$2)/365))</f>
        <v>2.44140625E-4</v>
      </c>
      <c r="H78">
        <v>75</v>
      </c>
      <c r="I78">
        <f>IF(SUMPRODUCT(FS!$D$27:$BK$27/(1+I77)^((FS!$D$2:$BK$2-FS!$D$2)/365))*SUMPRODUCT(FS!$D$27:$BK$27/(1+K77)^((FS!$D$2:$BK$2-FS!$D$2)/365))&lt;=0,I77,K77)</f>
        <v>-3.020707975590281E-2</v>
      </c>
      <c r="J78">
        <f>IF(SUMPRODUCT(FS!$D$27:$BK$27/(1+I77)^((FS!$D$2:$BK$2-FS!$D$2)/365))*SUMPRODUCT(FS!$D$27:$BK$27/(1+K77)^((FS!$D$2:$BK$2-FS!$D$2)/365))&lt;=0,K77,J77)</f>
        <v>-3.0207079755902807E-2</v>
      </c>
      <c r="K78">
        <f t="shared" si="10"/>
        <v>-3.020707975590281E-2</v>
      </c>
      <c r="L78" s="8">
        <f t="shared" si="11"/>
        <v>-3.020707975590281E-2</v>
      </c>
    </row>
    <row r="79" spans="1:12" x14ac:dyDescent="0.25">
      <c r="A79">
        <v>76</v>
      </c>
      <c r="B79">
        <f>IF(SUMPRODUCT(FS!$D$32:$BK$32/(1+B78)^((FS!$D$2:$BK$2-FS!$D$2)/365))*SUMPRODUCT(FS!$D$32:$BK$32/(1+D78)^((FS!$D$2:$BK$2-FS!$D$2)/365))&lt;=0,B78,D78)</f>
        <v>-3.7643912323957203E-2</v>
      </c>
      <c r="C79">
        <f>IF(SUMPRODUCT(FS!$D$32:$BK$32/(1+B78)^((FS!$D$2:$BK$2-FS!$D$2)/365))*SUMPRODUCT(FS!$D$32:$BK$32/(1+D78)^((FS!$D$2:$BK$2-FS!$D$2)/365))&lt;=0,D78,C78)</f>
        <v>-3.7643912323957196E-2</v>
      </c>
      <c r="D79">
        <f t="shared" si="8"/>
        <v>-3.7643912323957196E-2</v>
      </c>
      <c r="E79">
        <f>SUMPRODUCT(FS!$D$32:$BK$32/(1+D79)^((FS!$D$2:$BK$2-FS!$D$2)/365))</f>
        <v>0</v>
      </c>
      <c r="F79" s="8">
        <f t="shared" si="9"/>
        <v>-3.7643912323957196E-2</v>
      </c>
      <c r="G79">
        <f>SUMPRODUCT(FS!$D$27:$BK$27/(1+K79)^((FS!$D$2:$BK$2-FS!$D$2)/365))</f>
        <v>2.44140625E-4</v>
      </c>
      <c r="H79">
        <v>76</v>
      </c>
      <c r="I79">
        <f>IF(SUMPRODUCT(FS!$D$27:$BK$27/(1+I78)^((FS!$D$2:$BK$2-FS!$D$2)/365))*SUMPRODUCT(FS!$D$27:$BK$27/(1+K78)^((FS!$D$2:$BK$2-FS!$D$2)/365))&lt;=0,I78,K78)</f>
        <v>-3.020707975590281E-2</v>
      </c>
      <c r="J79">
        <f>IF(SUMPRODUCT(FS!$D$27:$BK$27/(1+I78)^((FS!$D$2:$BK$2-FS!$D$2)/365))*SUMPRODUCT(FS!$D$27:$BK$27/(1+K78)^((FS!$D$2:$BK$2-FS!$D$2)/365))&lt;=0,K78,J78)</f>
        <v>-3.0207079755902807E-2</v>
      </c>
      <c r="K79">
        <f t="shared" si="10"/>
        <v>-3.020707975590281E-2</v>
      </c>
      <c r="L79" s="8">
        <f t="shared" si="11"/>
        <v>-3.020707975590281E-2</v>
      </c>
    </row>
    <row r="80" spans="1:12" x14ac:dyDescent="0.25">
      <c r="A80">
        <v>77</v>
      </c>
      <c r="B80">
        <f>IF(SUMPRODUCT(FS!$D$32:$BK$32/(1+B79)^((FS!$D$2:$BK$2-FS!$D$2)/365))*SUMPRODUCT(FS!$D$32:$BK$32/(1+D79)^((FS!$D$2:$BK$2-FS!$D$2)/365))&lt;=0,B79,D79)</f>
        <v>-3.7643912323957203E-2</v>
      </c>
      <c r="C80">
        <f>IF(SUMPRODUCT(FS!$D$32:$BK$32/(1+B79)^((FS!$D$2:$BK$2-FS!$D$2)/365))*SUMPRODUCT(FS!$D$32:$BK$32/(1+D79)^((FS!$D$2:$BK$2-FS!$D$2)/365))&lt;=0,D79,C79)</f>
        <v>-3.7643912323957196E-2</v>
      </c>
      <c r="D80">
        <f t="shared" si="8"/>
        <v>-3.7643912323957196E-2</v>
      </c>
      <c r="E80">
        <f>SUMPRODUCT(FS!$D$32:$BK$32/(1+D80)^((FS!$D$2:$BK$2-FS!$D$2)/365))</f>
        <v>0</v>
      </c>
      <c r="F80" s="8">
        <f t="shared" si="9"/>
        <v>-3.7643912323957196E-2</v>
      </c>
      <c r="G80">
        <f>SUMPRODUCT(FS!$D$27:$BK$27/(1+K80)^((FS!$D$2:$BK$2-FS!$D$2)/365))</f>
        <v>2.44140625E-4</v>
      </c>
      <c r="H80">
        <v>77</v>
      </c>
      <c r="I80">
        <f>IF(SUMPRODUCT(FS!$D$27:$BK$27/(1+I79)^((FS!$D$2:$BK$2-FS!$D$2)/365))*SUMPRODUCT(FS!$D$27:$BK$27/(1+K79)^((FS!$D$2:$BK$2-FS!$D$2)/365))&lt;=0,I79,K79)</f>
        <v>-3.020707975590281E-2</v>
      </c>
      <c r="J80">
        <f>IF(SUMPRODUCT(FS!$D$27:$BK$27/(1+I79)^((FS!$D$2:$BK$2-FS!$D$2)/365))*SUMPRODUCT(FS!$D$27:$BK$27/(1+K79)^((FS!$D$2:$BK$2-FS!$D$2)/365))&lt;=0,K79,J79)</f>
        <v>-3.0207079755902807E-2</v>
      </c>
      <c r="K80">
        <f t="shared" si="10"/>
        <v>-3.020707975590281E-2</v>
      </c>
      <c r="L80" s="8">
        <f t="shared" si="11"/>
        <v>-3.020707975590281E-2</v>
      </c>
    </row>
    <row r="81" spans="1:12" x14ac:dyDescent="0.25">
      <c r="A81">
        <v>78</v>
      </c>
      <c r="B81">
        <f>IF(SUMPRODUCT(FS!$D$32:$BK$32/(1+B80)^((FS!$D$2:$BK$2-FS!$D$2)/365))*SUMPRODUCT(FS!$D$32:$BK$32/(1+D80)^((FS!$D$2:$BK$2-FS!$D$2)/365))&lt;=0,B80,D80)</f>
        <v>-3.7643912323957203E-2</v>
      </c>
      <c r="C81">
        <f>IF(SUMPRODUCT(FS!$D$32:$BK$32/(1+B80)^((FS!$D$2:$BK$2-FS!$D$2)/365))*SUMPRODUCT(FS!$D$32:$BK$32/(1+D80)^((FS!$D$2:$BK$2-FS!$D$2)/365))&lt;=0,D80,C80)</f>
        <v>-3.7643912323957196E-2</v>
      </c>
      <c r="D81">
        <f t="shared" si="8"/>
        <v>-3.7643912323957196E-2</v>
      </c>
      <c r="E81">
        <f>SUMPRODUCT(FS!$D$32:$BK$32/(1+D81)^((FS!$D$2:$BK$2-FS!$D$2)/365))</f>
        <v>0</v>
      </c>
      <c r="F81" s="8">
        <f t="shared" si="9"/>
        <v>-3.7643912323957196E-2</v>
      </c>
      <c r="G81">
        <f>SUMPRODUCT(FS!$D$27:$BK$27/(1+K81)^((FS!$D$2:$BK$2-FS!$D$2)/365))</f>
        <v>2.44140625E-4</v>
      </c>
      <c r="H81">
        <v>78</v>
      </c>
      <c r="I81">
        <f>IF(SUMPRODUCT(FS!$D$27:$BK$27/(1+I80)^((FS!$D$2:$BK$2-FS!$D$2)/365))*SUMPRODUCT(FS!$D$27:$BK$27/(1+K80)^((FS!$D$2:$BK$2-FS!$D$2)/365))&lt;=0,I80,K80)</f>
        <v>-3.020707975590281E-2</v>
      </c>
      <c r="J81">
        <f>IF(SUMPRODUCT(FS!$D$27:$BK$27/(1+I80)^((FS!$D$2:$BK$2-FS!$D$2)/365))*SUMPRODUCT(FS!$D$27:$BK$27/(1+K80)^((FS!$D$2:$BK$2-FS!$D$2)/365))&lt;=0,K80,J80)</f>
        <v>-3.0207079755902807E-2</v>
      </c>
      <c r="K81">
        <f t="shared" si="10"/>
        <v>-3.020707975590281E-2</v>
      </c>
      <c r="L81" s="8">
        <f t="shared" si="11"/>
        <v>-3.020707975590281E-2</v>
      </c>
    </row>
    <row r="82" spans="1:12" x14ac:dyDescent="0.25">
      <c r="A82">
        <v>79</v>
      </c>
      <c r="B82">
        <f>IF(SUMPRODUCT(FS!$D$32:$BK$32/(1+B81)^((FS!$D$2:$BK$2-FS!$D$2)/365))*SUMPRODUCT(FS!$D$32:$BK$32/(1+D81)^((FS!$D$2:$BK$2-FS!$D$2)/365))&lt;=0,B81,D81)</f>
        <v>-3.7643912323957203E-2</v>
      </c>
      <c r="C82">
        <f>IF(SUMPRODUCT(FS!$D$32:$BK$32/(1+B81)^((FS!$D$2:$BK$2-FS!$D$2)/365))*SUMPRODUCT(FS!$D$32:$BK$32/(1+D81)^((FS!$D$2:$BK$2-FS!$D$2)/365))&lt;=0,D81,C81)</f>
        <v>-3.7643912323957196E-2</v>
      </c>
      <c r="D82">
        <f t="shared" si="8"/>
        <v>-3.7643912323957196E-2</v>
      </c>
      <c r="E82">
        <f>SUMPRODUCT(FS!$D$32:$BK$32/(1+D82)^((FS!$D$2:$BK$2-FS!$D$2)/365))</f>
        <v>0</v>
      </c>
      <c r="F82" s="8">
        <f t="shared" si="9"/>
        <v>-3.7643912323957196E-2</v>
      </c>
      <c r="G82">
        <f>SUMPRODUCT(FS!$D$27:$BK$27/(1+K82)^((FS!$D$2:$BK$2-FS!$D$2)/365))</f>
        <v>2.44140625E-4</v>
      </c>
      <c r="H82">
        <v>79</v>
      </c>
      <c r="I82">
        <f>IF(SUMPRODUCT(FS!$D$27:$BK$27/(1+I81)^((FS!$D$2:$BK$2-FS!$D$2)/365))*SUMPRODUCT(FS!$D$27:$BK$27/(1+K81)^((FS!$D$2:$BK$2-FS!$D$2)/365))&lt;=0,I81,K81)</f>
        <v>-3.020707975590281E-2</v>
      </c>
      <c r="J82">
        <f>IF(SUMPRODUCT(FS!$D$27:$BK$27/(1+I81)^((FS!$D$2:$BK$2-FS!$D$2)/365))*SUMPRODUCT(FS!$D$27:$BK$27/(1+K81)^((FS!$D$2:$BK$2-FS!$D$2)/365))&lt;=0,K81,J81)</f>
        <v>-3.0207079755902807E-2</v>
      </c>
      <c r="K82">
        <f t="shared" si="10"/>
        <v>-3.020707975590281E-2</v>
      </c>
      <c r="L82" s="8">
        <f t="shared" si="11"/>
        <v>-3.020707975590281E-2</v>
      </c>
    </row>
    <row r="83" spans="1:12" x14ac:dyDescent="0.25">
      <c r="A83">
        <v>80</v>
      </c>
      <c r="B83">
        <f>IF(SUMPRODUCT(FS!$D$32:$BK$32/(1+B82)^((FS!$D$2:$BK$2-FS!$D$2)/365))*SUMPRODUCT(FS!$D$32:$BK$32/(1+D82)^((FS!$D$2:$BK$2-FS!$D$2)/365))&lt;=0,B82,D82)</f>
        <v>-3.7643912323957203E-2</v>
      </c>
      <c r="C83">
        <f>IF(SUMPRODUCT(FS!$D$32:$BK$32/(1+B82)^((FS!$D$2:$BK$2-FS!$D$2)/365))*SUMPRODUCT(FS!$D$32:$BK$32/(1+D82)^((FS!$D$2:$BK$2-FS!$D$2)/365))&lt;=0,D82,C82)</f>
        <v>-3.7643912323957196E-2</v>
      </c>
      <c r="D83">
        <f t="shared" si="8"/>
        <v>-3.7643912323957196E-2</v>
      </c>
      <c r="E83">
        <f>SUMPRODUCT(FS!$D$32:$BK$32/(1+D83)^((FS!$D$2:$BK$2-FS!$D$2)/365))</f>
        <v>0</v>
      </c>
      <c r="F83" s="8">
        <f t="shared" si="9"/>
        <v>-3.7643912323957196E-2</v>
      </c>
      <c r="G83">
        <f>SUMPRODUCT(FS!$D$27:$BK$27/(1+K83)^((FS!$D$2:$BK$2-FS!$D$2)/365))</f>
        <v>2.44140625E-4</v>
      </c>
      <c r="H83">
        <v>80</v>
      </c>
      <c r="I83">
        <f>IF(SUMPRODUCT(FS!$D$27:$BK$27/(1+I82)^((FS!$D$2:$BK$2-FS!$D$2)/365))*SUMPRODUCT(FS!$D$27:$BK$27/(1+K82)^((FS!$D$2:$BK$2-FS!$D$2)/365))&lt;=0,I82,K82)</f>
        <v>-3.020707975590281E-2</v>
      </c>
      <c r="J83">
        <f>IF(SUMPRODUCT(FS!$D$27:$BK$27/(1+I82)^((FS!$D$2:$BK$2-FS!$D$2)/365))*SUMPRODUCT(FS!$D$27:$BK$27/(1+K82)^((FS!$D$2:$BK$2-FS!$D$2)/365))&lt;=0,K82,J82)</f>
        <v>-3.0207079755902807E-2</v>
      </c>
      <c r="K83">
        <f t="shared" si="10"/>
        <v>-3.020707975590281E-2</v>
      </c>
      <c r="L83" s="8">
        <f t="shared" si="11"/>
        <v>-3.020707975590281E-2</v>
      </c>
    </row>
    <row r="84" spans="1:12" x14ac:dyDescent="0.25">
      <c r="A84">
        <v>81</v>
      </c>
      <c r="B84">
        <f>IF(SUMPRODUCT(FS!$D$32:$BK$32/(1+B83)^((FS!$D$2:$BK$2-FS!$D$2)/365))*SUMPRODUCT(FS!$D$32:$BK$32/(1+D83)^((FS!$D$2:$BK$2-FS!$D$2)/365))&lt;=0,B83,D83)</f>
        <v>-3.7643912323957203E-2</v>
      </c>
      <c r="C84">
        <f>IF(SUMPRODUCT(FS!$D$32:$BK$32/(1+B83)^((FS!$D$2:$BK$2-FS!$D$2)/365))*SUMPRODUCT(FS!$D$32:$BK$32/(1+D83)^((FS!$D$2:$BK$2-FS!$D$2)/365))&lt;=0,D83,C83)</f>
        <v>-3.7643912323957196E-2</v>
      </c>
      <c r="D84">
        <f t="shared" si="8"/>
        <v>-3.7643912323957196E-2</v>
      </c>
      <c r="E84">
        <f>SUMPRODUCT(FS!$D$32:$BK$32/(1+D84)^((FS!$D$2:$BK$2-FS!$D$2)/365))</f>
        <v>0</v>
      </c>
      <c r="F84" s="8">
        <f t="shared" si="9"/>
        <v>-3.7643912323957196E-2</v>
      </c>
      <c r="G84">
        <f>SUMPRODUCT(FS!$D$27:$BK$27/(1+K84)^((FS!$D$2:$BK$2-FS!$D$2)/365))</f>
        <v>2.44140625E-4</v>
      </c>
      <c r="H84">
        <v>81</v>
      </c>
      <c r="I84">
        <f>IF(SUMPRODUCT(FS!$D$27:$BK$27/(1+I83)^((FS!$D$2:$BK$2-FS!$D$2)/365))*SUMPRODUCT(FS!$D$27:$BK$27/(1+K83)^((FS!$D$2:$BK$2-FS!$D$2)/365))&lt;=0,I83,K83)</f>
        <v>-3.020707975590281E-2</v>
      </c>
      <c r="J84">
        <f>IF(SUMPRODUCT(FS!$D$27:$BK$27/(1+I83)^((FS!$D$2:$BK$2-FS!$D$2)/365))*SUMPRODUCT(FS!$D$27:$BK$27/(1+K83)^((FS!$D$2:$BK$2-FS!$D$2)/365))&lt;=0,K83,J83)</f>
        <v>-3.0207079755902807E-2</v>
      </c>
      <c r="K84">
        <f t="shared" si="10"/>
        <v>-3.020707975590281E-2</v>
      </c>
      <c r="L84" s="8">
        <f t="shared" si="11"/>
        <v>-3.020707975590281E-2</v>
      </c>
    </row>
  </sheetData>
  <mergeCells count="1">
    <mergeCell ref="A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6A6A6"/>
  </sheetPr>
  <dimension ref="B2:B12"/>
  <sheetViews>
    <sheetView showGridLines="0" workbookViewId="0"/>
  </sheetViews>
  <sheetFormatPr defaultRowHeight="15" x14ac:dyDescent="0.25"/>
  <cols>
    <col min="1" max="1" width="2" customWidth="1"/>
    <col min="2" max="2" width="112" customWidth="1"/>
  </cols>
  <sheetData>
    <row r="2" spans="2:2" ht="22.5" x14ac:dyDescent="0.25">
      <c r="B2" s="5" t="s">
        <v>554</v>
      </c>
    </row>
    <row r="3" spans="2:2" x14ac:dyDescent="0.25">
      <c r="B3" t="s">
        <v>1</v>
      </c>
    </row>
    <row r="4" spans="2:2" x14ac:dyDescent="0.25">
      <c r="B4" t="s">
        <v>555</v>
      </c>
    </row>
    <row r="5" spans="2:2" x14ac:dyDescent="0.25">
      <c r="B5" t="s">
        <v>556</v>
      </c>
    </row>
    <row r="6" spans="2:2" x14ac:dyDescent="0.25">
      <c r="B6" t="s">
        <v>557</v>
      </c>
    </row>
    <row r="7" spans="2:2" x14ac:dyDescent="0.25">
      <c r="B7" t="s">
        <v>558</v>
      </c>
    </row>
    <row r="8" spans="2:2" x14ac:dyDescent="0.25">
      <c r="B8" t="s">
        <v>559</v>
      </c>
    </row>
    <row r="9" spans="2:2" x14ac:dyDescent="0.25">
      <c r="B9" t="s">
        <v>560</v>
      </c>
    </row>
    <row r="10" spans="2:2" x14ac:dyDescent="0.25">
      <c r="B10" t="s">
        <v>561</v>
      </c>
    </row>
    <row r="11" spans="2:2" x14ac:dyDescent="0.25">
      <c r="B11" t="s">
        <v>562</v>
      </c>
    </row>
    <row r="12" spans="2:2" x14ac:dyDescent="0.25">
      <c r="B12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DASHBOARD</vt:lpstr>
      <vt:lpstr>INPUT</vt:lpstr>
      <vt:lpstr>TIENDO</vt:lpstr>
      <vt:lpstr>QD425</vt:lpstr>
      <vt:lpstr>FS</vt:lpstr>
      <vt:lpstr>CAUTRUCVON</vt:lpstr>
      <vt:lpstr>PHANBOCP</vt:lpstr>
      <vt:lpstr>KHAITOAN</vt:lpstr>
      <vt:lpstr>WEB_RESULT</vt:lpstr>
      <vt:lpstr>WEB_CF</vt:lpstr>
      <vt:lpstr>WEB_COLLECTION_SPLIT</vt:lpstr>
      <vt:lpstr>IRR_SOLVER</vt:lpstr>
      <vt:lpstr>HDSD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 D - CVDT</cp:lastModifiedBy>
  <dcterms:modified xsi:type="dcterms:W3CDTF">2026-07-23T01:54:27Z</dcterms:modified>
</cp:coreProperties>
</file>