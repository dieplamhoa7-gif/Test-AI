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_5Y" sheetId="3" state="visible" r:id="rId3"/>
    <sheet xmlns:r="http://schemas.openxmlformats.org/officeDocument/2006/relationships" name="Segment_Historical" sheetId="4" state="visible" r:id="rId4"/>
    <sheet xmlns:r="http://schemas.openxmlformats.org/officeDocument/2006/relationships" name="Industry_Drivers" sheetId="5" state="visible" r:id="rId5"/>
    <sheet xmlns:r="http://schemas.openxmlformats.org/officeDocument/2006/relationships" name="TGDD_Forecast" sheetId="6" state="visible" r:id="rId6"/>
    <sheet xmlns:r="http://schemas.openxmlformats.org/officeDocument/2006/relationships" name="DMX_Forecast" sheetId="7" state="visible" r:id="rId7"/>
    <sheet xmlns:r="http://schemas.openxmlformats.org/officeDocument/2006/relationships" name="BHX_Forecast" sheetId="8" state="visible" r:id="rId8"/>
    <sheet xmlns:r="http://schemas.openxmlformats.org/officeDocument/2006/relationships" name="Subsidiaries" sheetId="9" state="visible" r:id="rId9"/>
    <sheet xmlns:r="http://schemas.openxmlformats.org/officeDocument/2006/relationships" name="Consolidated_Forecast" sheetId="10" state="visible" r:id="rId10"/>
    <sheet xmlns:r="http://schemas.openxmlformats.org/officeDocument/2006/relationships" name="DCF" sheetId="11" state="visible" r:id="rId11"/>
    <sheet xmlns:r="http://schemas.openxmlformats.org/officeDocument/2006/relationships" name="SOTP" sheetId="12" state="visible" r:id="rId12"/>
    <sheet xmlns:r="http://schemas.openxmlformats.org/officeDocument/2006/relationships" name="IPO_DMX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Sourc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MWG Revenue Forecast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'Consolidated_Forecast'!$B$1:$G$1</f>
            </numRef>
          </cat>
          <val>
            <numRef>
              <f>'Consolidated_Forecast'!$B$6:$G$6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VNDbn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inlineStr">
        <is>
          <t>MWG VALUATION MODEL V2 - 5Y HISTORICAL + DRIVER-BASED FORECAST + SOTP</t>
        </is>
      </c>
      <c r="B1" s="2" t="n"/>
    </row>
    <row r="2">
      <c r="A2" s="2" t="n"/>
      <c r="B2" s="2" t="n"/>
    </row>
    <row r="3">
      <c r="A3" s="2" t="inlineStr">
        <is>
          <t>Mục tiêu</t>
        </is>
      </c>
      <c r="B3" s="2" t="inlineStr">
        <is>
          <t>Model định giá MWG chi tiết hơn: 5 năm lịch sử, forecast theo driver ngành bán lẻ, sheet riêng cho TGDD/ĐMX/BHX/công ty con, DCF + SOTP + case IPO ĐMX.</t>
        </is>
      </c>
    </row>
    <row r="4">
      <c r="A4" s="2" t="n"/>
      <c r="B4" s="2" t="n"/>
    </row>
    <row r="5">
      <c r="A5" s="2" t="inlineStr">
        <is>
          <t>Ghi chú quan trọng</t>
        </is>
      </c>
      <c r="B5" s="2" t="inlineStr">
        <is>
          <t>Một số số lịch sử hiện là ô nhập/cần cập nhật từ BCTC MWG 2021-2025 và tài liệu IR. Cấu trúc model đã làm theo hướng full-stack để chỉ cần cấy số vào là chạy.</t>
        </is>
      </c>
    </row>
    <row r="6">
      <c r="A6" s="2" t="n"/>
      <c r="B6" s="2" t="n"/>
    </row>
    <row r="7">
      <c r="A7" s="2" t="n"/>
      <c r="B7" s="2" t="n"/>
    </row>
    <row r="8">
      <c r="A8" s="2" t="inlineStr">
        <is>
          <t>•</t>
        </is>
      </c>
      <c r="B8" s="2" t="inlineStr">
        <is>
          <t>Historical_5Y: 2021-2025 lịch sử hợp nhất</t>
        </is>
      </c>
    </row>
    <row r="9">
      <c r="A9" s="2" t="inlineStr">
        <is>
          <t>•</t>
        </is>
      </c>
      <c r="B9" s="2" t="inlineStr">
        <is>
          <t>Segment_Historical: lịch sử theo TGDD/ĐMX/BHX/khác</t>
        </is>
      </c>
    </row>
    <row r="10">
      <c r="A10" s="2" t="inlineStr">
        <is>
          <t>•</t>
        </is>
      </c>
      <c r="B10" s="2" t="inlineStr">
        <is>
          <t>Industry_Drivers: tăng trưởng ngành bán lẻ/điện máy/grocery</t>
        </is>
      </c>
    </row>
    <row r="11">
      <c r="A11" s="2" t="inlineStr">
        <is>
          <t>•</t>
        </is>
      </c>
      <c r="B11" s="2" t="inlineStr">
        <is>
          <t>TGDD_Forecast / DMX_Forecast / BHX_Forecast: forecast riêng từng mảng</t>
        </is>
      </c>
    </row>
    <row r="12">
      <c r="A12" s="2" t="inlineStr">
        <is>
          <t>•</t>
        </is>
      </c>
      <c r="B12" s="2" t="inlineStr">
        <is>
          <t>Subsidiaries: công ty con/mảng khác chiếm doanh thu</t>
        </is>
      </c>
    </row>
    <row r="13">
      <c r="A13" s="2" t="inlineStr">
        <is>
          <t>•</t>
        </is>
      </c>
      <c r="B13" s="2" t="inlineStr">
        <is>
          <t>Consolidated_Forecast: hợp nhất</t>
        </is>
      </c>
    </row>
    <row r="14">
      <c r="A14" s="2" t="inlineStr">
        <is>
          <t>•</t>
        </is>
      </c>
      <c r="B14" s="2" t="inlineStr">
        <is>
          <t>DCF / SOTP / IPO_DMX / Sensitivity / 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2" customWidth="1" min="5" max="5"/>
    <col width="56" customWidth="1" min="6" max="6"/>
  </cols>
  <sheetData>
    <row r="1">
      <c r="A1" s="3" t="inlineStr">
        <is>
          <t>Input</t>
        </is>
      </c>
      <c r="B1" s="3" t="inlineStr">
        <is>
          <t>Base</t>
        </is>
      </c>
      <c r="C1" s="3" t="inlineStr">
        <is>
          <t>Bull</t>
        </is>
      </c>
      <c r="D1" s="3" t="inlineStr">
        <is>
          <t>Bear</t>
        </is>
      </c>
      <c r="E1" s="3" t="inlineStr">
        <is>
          <t>Unit</t>
        </is>
      </c>
      <c r="F1" s="3" t="inlineStr">
        <is>
          <t>Logic</t>
        </is>
      </c>
    </row>
    <row r="2">
      <c r="A2" s="2" t="inlineStr">
        <is>
          <t>WACC</t>
        </is>
      </c>
      <c r="B2" s="4" t="n">
        <v>0.105</v>
      </c>
      <c r="C2" s="5" t="n">
        <v>0.095</v>
      </c>
      <c r="D2" s="6" t="n">
        <v>0.115</v>
      </c>
      <c r="E2" s="2" t="inlineStr">
        <is>
          <t>%</t>
        </is>
      </c>
      <c r="F2" s="2" t="inlineStr">
        <is>
          <t>Cost of capital cho MWG</t>
        </is>
      </c>
    </row>
    <row r="3">
      <c r="A3" s="2" t="inlineStr">
        <is>
          <t>Terminal growth</t>
        </is>
      </c>
      <c r="B3" s="4" t="n">
        <v>0.035</v>
      </c>
      <c r="C3" s="5" t="n">
        <v>0.04</v>
      </c>
      <c r="D3" s="6" t="n">
        <v>0.025</v>
      </c>
      <c r="E3" s="2" t="inlineStr">
        <is>
          <t>%</t>
        </is>
      </c>
      <c r="F3" s="2" t="inlineStr">
        <is>
          <t>Long-run nominal growth</t>
        </is>
      </c>
    </row>
    <row r="4">
      <c r="A4" s="2" t="inlineStr">
        <is>
          <t>Tax rate</t>
        </is>
      </c>
      <c r="B4" s="4" t="n">
        <v>0.2</v>
      </c>
      <c r="C4" s="5" t="n">
        <v>0.2</v>
      </c>
      <c r="D4" s="6" t="n">
        <v>0.2</v>
      </c>
      <c r="E4" s="2" t="inlineStr">
        <is>
          <t>%</t>
        </is>
      </c>
      <c r="F4" s="2" t="inlineStr">
        <is>
          <t>Thuế suất doanh nghiệp</t>
        </is>
      </c>
    </row>
    <row r="5">
      <c r="A5" s="2" t="inlineStr">
        <is>
          <t>Net debt 2025A</t>
        </is>
      </c>
      <c r="B5" s="4" t="n">
        <v>7000</v>
      </c>
      <c r="C5" s="5" t="n">
        <v>5000</v>
      </c>
      <c r="D5" s="6" t="n">
        <v>9000</v>
      </c>
      <c r="E5" s="2" t="inlineStr">
        <is>
          <t>VNDbn</t>
        </is>
      </c>
      <c r="F5" s="2" t="inlineStr">
        <is>
          <t>Cập nhật theo BCTC 2025</t>
        </is>
      </c>
    </row>
    <row r="6">
      <c r="A6" s="2" t="inlineStr">
        <is>
          <t>Shares out</t>
        </is>
      </c>
      <c r="B6" s="4" t="n">
        <v>1463</v>
      </c>
      <c r="C6" s="5" t="n">
        <v>1463</v>
      </c>
      <c r="D6" s="6" t="n">
        <v>1463</v>
      </c>
      <c r="E6" s="2" t="inlineStr">
        <is>
          <t>mn</t>
        </is>
      </c>
      <c r="F6" s="2" t="inlineStr">
        <is>
          <t>Cập nhật theo báo cáo mới nhất</t>
        </is>
      </c>
    </row>
    <row r="7">
      <c r="A7" s="2" t="inlineStr">
        <is>
          <t>ĐMX IPO valuation</t>
        </is>
      </c>
      <c r="B7" s="4" t="n">
        <v>45000</v>
      </c>
      <c r="C7" s="5" t="n">
        <v>60000</v>
      </c>
      <c r="D7" s="6" t="n">
        <v>32000</v>
      </c>
      <c r="E7" s="2" t="inlineStr">
        <is>
          <t>VNDbn</t>
        </is>
      </c>
      <c r="F7" s="2" t="inlineStr">
        <is>
          <t>Giả định post-money ĐMX</t>
        </is>
      </c>
    </row>
    <row r="8">
      <c r="A8" s="2" t="inlineStr">
        <is>
          <t>ĐMX IPO stake sold</t>
        </is>
      </c>
      <c r="B8" s="4" t="n">
        <v>0.2</v>
      </c>
      <c r="C8" s="5" t="n">
        <v>0.25</v>
      </c>
      <c r="D8" s="6" t="n">
        <v>0.15</v>
      </c>
      <c r="E8" s="2" t="inlineStr">
        <is>
          <t>%</t>
        </is>
      </c>
      <c r="F8" s="2" t="inlineStr">
        <is>
          <t>Tỷ lệ IPO/spin-off</t>
        </is>
      </c>
    </row>
    <row r="9">
      <c r="A9" s="2" t="inlineStr">
        <is>
          <t>BHX target steady EBIT margin</t>
        </is>
      </c>
      <c r="B9" s="4" t="n">
        <v>0.04</v>
      </c>
      <c r="C9" s="5" t="n">
        <v>0.055</v>
      </c>
      <c r="D9" s="6" t="n">
        <v>0.02</v>
      </c>
      <c r="E9" s="2" t="inlineStr">
        <is>
          <t>%</t>
        </is>
      </c>
      <c r="F9" s="2" t="inlineStr">
        <is>
          <t>Khi đạt scale</t>
        </is>
      </c>
    </row>
    <row r="10">
      <c r="A10" s="2" t="inlineStr">
        <is>
          <t>TGDD steady EBIT margin</t>
        </is>
      </c>
      <c r="B10" s="4" t="n">
        <v>0.05</v>
      </c>
      <c r="C10" s="5" t="n">
        <v>0.055</v>
      </c>
      <c r="D10" s="6" t="n">
        <v>0.045</v>
      </c>
      <c r="E10" s="2" t="inlineStr">
        <is>
          <t>%</t>
        </is>
      </c>
      <c r="F10" s="2" t="inlineStr">
        <is>
          <t>Mảng mature</t>
        </is>
      </c>
    </row>
    <row r="11">
      <c r="A11" s="2" t="inlineStr">
        <is>
          <t>ĐMX steady EBIT margin</t>
        </is>
      </c>
      <c r="B11" s="4" t="n">
        <v>0.06</v>
      </c>
      <c r="C11" s="5" t="n">
        <v>0.07000000000000001</v>
      </c>
      <c r="D11" s="6" t="n">
        <v>0.05</v>
      </c>
      <c r="E11" s="2" t="inlineStr">
        <is>
          <t>%</t>
        </is>
      </c>
      <c r="F11" s="2" t="inlineStr">
        <is>
          <t>Điện máy tốt hơn TGDD nếu cầu hồi phục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VNDbn</t>
        </is>
      </c>
      <c r="B1" s="3" t="inlineStr">
        <is>
          <t>2021A</t>
        </is>
      </c>
      <c r="C1" s="3" t="inlineStr">
        <is>
          <t>2022A</t>
        </is>
      </c>
      <c r="D1" s="3" t="inlineStr">
        <is>
          <t>2023A</t>
        </is>
      </c>
      <c r="E1" s="3" t="inlineStr">
        <is>
          <t>2024A</t>
        </is>
      </c>
      <c r="F1" s="3" t="inlineStr">
        <is>
          <t>2025A</t>
        </is>
      </c>
    </row>
    <row r="2">
      <c r="A2" s="2" t="inlineStr">
        <is>
          <t>Revenue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Gross profit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>
        <is>
          <t>EBIT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NPAT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>
        <is>
          <t>Operating CF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>
        <is>
          <t>Capex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>
        <is>
          <t>Total assets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>
        <is>
          <t>Cash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>
        <is>
          <t>Debt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>
        <is>
          <t>Net debt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>
        <is>
          <t>Equity</t>
        </is>
      </c>
      <c r="B12" s="2" t="inlineStr"/>
      <c r="C12" s="2" t="inlineStr"/>
      <c r="D12" s="2" t="inlineStr"/>
      <c r="E12" s="2" t="inlineStr"/>
      <c r="F12" s="2" t="inlineStr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inlineStr">
        <is>
          <t>Hướng dẫn</t>
        </is>
      </c>
      <c r="B15" s="2" t="inlineStr">
        <is>
          <t>Điền số lịch sử 2021-2025 từ BCTC hợp nhất kiểm toán/quý 4.</t>
        </is>
      </c>
      <c r="C15" s="2" t="n"/>
      <c r="D15" s="2" t="n"/>
      <c r="E15" s="2" t="n"/>
      <c r="F1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Metric</t>
        </is>
      </c>
      <c r="B1" s="3" t="inlineStr">
        <is>
          <t>2021A</t>
        </is>
      </c>
      <c r="C1" s="3" t="inlineStr">
        <is>
          <t>2022A</t>
        </is>
      </c>
      <c r="D1" s="3" t="inlineStr">
        <is>
          <t>2023A</t>
        </is>
      </c>
      <c r="E1" s="3" t="inlineStr">
        <is>
          <t>2024A</t>
        </is>
      </c>
      <c r="F1" s="3" t="inlineStr">
        <is>
          <t>2025A</t>
        </is>
      </c>
    </row>
    <row r="2">
      <c r="A2" s="2" t="inlineStr">
        <is>
          <t>TGDD revenue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TGDD store count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>
        <is>
          <t>DMX revenue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DMX store count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>
        <is>
          <t>DMX market share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>
        <is>
          <t>BHX revenue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>
        <is>
          <t>BHX store count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>
        <is>
          <t>BHX revenue/store/year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>
        <is>
          <t>BHX EBIT margin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>
        <is>
          <t>Other revenue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n"/>
      <c r="B12" s="2" t="n"/>
      <c r="C12" s="2" t="n"/>
      <c r="D12" s="2" t="n"/>
      <c r="E12" s="2" t="n"/>
      <c r="F12" s="2" t="n"/>
    </row>
    <row r="13">
      <c r="A13" s="2" t="inlineStr">
        <is>
          <t>Note</t>
        </is>
      </c>
      <c r="B13" s="2" t="inlineStr">
        <is>
          <t>Nếu thiếu số công khai, có thể nội suy từ annual report, presentation, bài IR, hoặc ước lượng bảo thủ để sensitivity chạy.</t>
        </is>
      </c>
      <c r="C13" s="2" t="n"/>
      <c r="D13" s="2" t="n"/>
      <c r="E13" s="2" t="n"/>
      <c r="F1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3" t="inlineStr">
        <is>
          <t>Driver</t>
        </is>
      </c>
      <c r="B1" s="3" t="inlineStr">
        <is>
          <t>2026E</t>
        </is>
      </c>
      <c r="C1" s="3" t="inlineStr">
        <is>
          <t>2027E</t>
        </is>
      </c>
      <c r="D1" s="3" t="inlineStr">
        <is>
          <t>2028E</t>
        </is>
      </c>
      <c r="E1" s="3" t="inlineStr">
        <is>
          <t>2029E</t>
        </is>
      </c>
      <c r="F1" s="3" t="inlineStr">
        <is>
          <t>2030E</t>
        </is>
      </c>
      <c r="G1" s="3" t="inlineStr">
        <is>
          <t>Ghi chú</t>
        </is>
      </c>
    </row>
    <row r="2">
      <c r="A2" s="2" t="inlineStr">
        <is>
          <t>VN retail sales growth</t>
        </is>
      </c>
      <c r="B2" s="4" t="n">
        <v>0.1</v>
      </c>
      <c r="C2" s="4" t="n">
        <v>0.09</v>
      </c>
      <c r="D2" s="4" t="n">
        <v>0.08</v>
      </c>
      <c r="E2" s="4" t="n">
        <v>0.07000000000000001</v>
      </c>
      <c r="F2" s="4" t="n">
        <v>0.07000000000000001</v>
      </c>
      <c r="G2" s="2" t="inlineStr">
        <is>
          <t>Tăng trưởng tiêu dùng danh nghĩa</t>
        </is>
      </c>
    </row>
    <row r="3">
      <c r="A3" s="2" t="inlineStr">
        <is>
          <t>Consumer electronics demand growth</t>
        </is>
      </c>
      <c r="B3" s="4" t="n">
        <v>0.08</v>
      </c>
      <c r="C3" s="4" t="n">
        <v>0.08</v>
      </c>
      <c r="D3" s="4" t="n">
        <v>0.07000000000000001</v>
      </c>
      <c r="E3" s="4" t="n">
        <v>0.06</v>
      </c>
      <c r="F3" s="4" t="n">
        <v>0.05</v>
      </c>
      <c r="G3" s="2" t="inlineStr">
        <is>
          <t>Chu kỳ thay mới điện thoại/điện máy</t>
        </is>
      </c>
    </row>
    <row r="4">
      <c r="A4" s="2" t="inlineStr">
        <is>
          <t>Modern grocery growth</t>
        </is>
      </c>
      <c r="B4" s="4" t="n">
        <v>0.14</v>
      </c>
      <c r="C4" s="4" t="n">
        <v>0.13</v>
      </c>
      <c r="D4" s="4" t="n">
        <v>0.12</v>
      </c>
      <c r="E4" s="4" t="n">
        <v>0.11</v>
      </c>
      <c r="F4" s="4" t="n">
        <v>0.1</v>
      </c>
      <c r="G4" s="2" t="inlineStr">
        <is>
          <t>Hiện đại hóa bán lẻ thực phẩm</t>
        </is>
      </c>
    </row>
    <row r="5">
      <c r="A5" s="2" t="inlineStr">
        <is>
          <t>DMX market share change</t>
        </is>
      </c>
      <c r="B5" s="4" t="n">
        <v>0.005</v>
      </c>
      <c r="C5" s="4" t="n">
        <v>0.004</v>
      </c>
      <c r="D5" s="4" t="n">
        <v>0.003</v>
      </c>
      <c r="E5" s="4" t="n">
        <v>0.002</v>
      </c>
      <c r="F5" s="4" t="n">
        <v>0.001</v>
      </c>
      <c r="G5" s="2" t="inlineStr">
        <is>
          <t>Điểm % gain/share</t>
        </is>
      </c>
    </row>
    <row r="6">
      <c r="A6" s="2" t="inlineStr">
        <is>
          <t>BHX new stores</t>
        </is>
      </c>
      <c r="B6" s="4" t="n">
        <v>250</v>
      </c>
      <c r="C6" s="4" t="n">
        <v>220</v>
      </c>
      <c r="D6" s="4" t="n">
        <v>200</v>
      </c>
      <c r="E6" s="4" t="n">
        <v>180</v>
      </c>
      <c r="F6" s="4" t="n">
        <v>150</v>
      </c>
      <c r="G6" s="2" t="inlineStr">
        <is>
          <t>Mở thêm cửa hàng/năm</t>
        </is>
      </c>
    </row>
    <row r="7">
      <c r="A7" s="2" t="inlineStr">
        <is>
          <t>BHX same-store sales growth</t>
        </is>
      </c>
      <c r="B7" s="4" t="n">
        <v>0.08</v>
      </c>
      <c r="C7" s="4" t="n">
        <v>0.07000000000000001</v>
      </c>
      <c r="D7" s="4" t="n">
        <v>0.06</v>
      </c>
      <c r="E7" s="4" t="n">
        <v>0.05</v>
      </c>
      <c r="F7" s="4" t="n">
        <v>0.04</v>
      </c>
      <c r="G7" s="2" t="inlineStr">
        <is>
          <t>Tăng trưởng cửa hàng cũ</t>
        </is>
      </c>
    </row>
    <row r="8">
      <c r="A8" s="2" t="inlineStr">
        <is>
          <t>TGDD same-store sales growth</t>
        </is>
      </c>
      <c r="B8" s="4" t="n">
        <v>0.04</v>
      </c>
      <c r="C8" s="4" t="n">
        <v>0.04</v>
      </c>
      <c r="D8" s="4" t="n">
        <v>0.03</v>
      </c>
      <c r="E8" s="4" t="n">
        <v>0.03</v>
      </c>
      <c r="F8" s="4" t="n">
        <v>0.02</v>
      </c>
      <c r="G8" s="2" t="inlineStr">
        <is>
          <t>Mảng mature</t>
        </is>
      </c>
    </row>
    <row r="9">
      <c r="A9" s="2" t="inlineStr">
        <is>
          <t>ĐMX same-store sales growth</t>
        </is>
      </c>
      <c r="B9" s="4" t="n">
        <v>0.06</v>
      </c>
      <c r="C9" s="4" t="n">
        <v>0.05</v>
      </c>
      <c r="D9" s="4" t="n">
        <v>0.04</v>
      </c>
      <c r="E9" s="4" t="n">
        <v>0.04</v>
      </c>
      <c r="F9" s="4" t="n">
        <v>0.03</v>
      </c>
      <c r="G9" s="2" t="inlineStr">
        <is>
          <t>Phục hồi điện máy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Line</t>
        </is>
      </c>
      <c r="B1" s="3" t="inlineStr">
        <is>
          <t>2025A</t>
        </is>
      </c>
      <c r="C1" s="3" t="inlineStr">
        <is>
          <t>2026E</t>
        </is>
      </c>
      <c r="D1" s="3" t="inlineStr">
        <is>
          <t>2027E</t>
        </is>
      </c>
      <c r="E1" s="3" t="inlineStr">
        <is>
          <t>2028E</t>
        </is>
      </c>
      <c r="F1" s="3" t="inlineStr">
        <is>
          <t>2029E</t>
        </is>
      </c>
      <c r="G1" s="3" t="inlineStr">
        <is>
          <t>2030E</t>
        </is>
      </c>
    </row>
    <row r="2">
      <c r="A2" s="2" t="inlineStr">
        <is>
          <t>Store count</t>
        </is>
      </c>
      <c r="B2" s="2">
        <f>Segment_Historical!B2</f>
        <v/>
      </c>
      <c r="C2" s="2">
        <f>B2</f>
        <v/>
      </c>
      <c r="D2" s="2">
        <f>C2</f>
        <v/>
      </c>
      <c r="E2" s="2">
        <f>D2</f>
        <v/>
      </c>
      <c r="F2" s="2">
        <f>E2</f>
        <v/>
      </c>
      <c r="G2" s="2">
        <f>F2</f>
        <v/>
      </c>
    </row>
    <row r="3">
      <c r="A3" s="2" t="inlineStr">
        <is>
          <t>Revenue/store</t>
        </is>
      </c>
      <c r="B3" s="2" t="n"/>
      <c r="C3" s="2">
        <f>B3*(1+Industry_Drivers!C8)</f>
        <v/>
      </c>
      <c r="D3" s="2">
        <f>C3*(1+Industry_Drivers!D8)</f>
        <v/>
      </c>
      <c r="E3" s="2">
        <f>D3*(1+Industry_Drivers!E8)</f>
        <v/>
      </c>
      <c r="F3" s="2">
        <f>E3*(1+Industry_Drivers!F8)</f>
        <v/>
      </c>
      <c r="G3" s="2">
        <f>F3*(1+Industry_Drivers!G8)</f>
        <v/>
      </c>
    </row>
    <row r="4">
      <c r="A4" s="2" t="inlineStr">
        <is>
          <t>Revenue</t>
        </is>
      </c>
      <c r="B4" s="2" t="n"/>
      <c r="C4" s="2">
        <f>C2*C3</f>
        <v/>
      </c>
      <c r="D4" s="2">
        <f>D2*D3</f>
        <v/>
      </c>
      <c r="E4" s="2">
        <f>E2*E3</f>
        <v/>
      </c>
      <c r="F4" s="2">
        <f>F2*F3</f>
        <v/>
      </c>
      <c r="G4" s="2">
        <f>G2*G3</f>
        <v/>
      </c>
    </row>
    <row r="5">
      <c r="A5" s="2" t="inlineStr">
        <is>
          <t>Growth</t>
        </is>
      </c>
      <c r="B5" s="2" t="n"/>
      <c r="C5" s="2">
        <f>IFERROR(C4/B4-1,"")</f>
        <v/>
      </c>
      <c r="D5" s="2">
        <f>IFERROR(D4/C4-1,"")</f>
        <v/>
      </c>
      <c r="E5" s="2">
        <f>IFERROR(E4/D4-1,"")</f>
        <v/>
      </c>
      <c r="F5" s="2">
        <f>IFERROR(F4/E4-1,"")</f>
        <v/>
      </c>
      <c r="G5" s="2">
        <f>IFERROR(G4/F4-1,"")</f>
        <v/>
      </c>
    </row>
    <row r="6">
      <c r="A6" s="2" t="inlineStr">
        <is>
          <t>EBIT margin</t>
        </is>
      </c>
      <c r="B6" s="2" t="n"/>
      <c r="C6" s="2">
        <f>Assumptions!B10</f>
        <v/>
      </c>
      <c r="D6" s="2">
        <f>Assumptions!B10</f>
        <v/>
      </c>
      <c r="E6" s="2">
        <f>Assumptions!B10</f>
        <v/>
      </c>
      <c r="F6" s="2">
        <f>Assumptions!B10</f>
        <v/>
      </c>
      <c r="G6" s="2">
        <f>Assumptions!B10</f>
        <v/>
      </c>
    </row>
    <row r="7">
      <c r="A7" s="2" t="inlineStr">
        <is>
          <t>EBIT</t>
        </is>
      </c>
      <c r="B7" s="2" t="n"/>
      <c r="C7" s="2">
        <f>C4*C6</f>
        <v/>
      </c>
      <c r="D7" s="2">
        <f>D4*D6</f>
        <v/>
      </c>
      <c r="E7" s="2">
        <f>E4*E6</f>
        <v/>
      </c>
      <c r="F7" s="2">
        <f>F4*F6</f>
        <v/>
      </c>
      <c r="G7" s="2">
        <f>G4*G6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Line</t>
        </is>
      </c>
      <c r="B1" s="3" t="inlineStr">
        <is>
          <t>2025A</t>
        </is>
      </c>
      <c r="C1" s="3" t="inlineStr">
        <is>
          <t>2026E</t>
        </is>
      </c>
      <c r="D1" s="3" t="inlineStr">
        <is>
          <t>2027E</t>
        </is>
      </c>
      <c r="E1" s="3" t="inlineStr">
        <is>
          <t>2028E</t>
        </is>
      </c>
      <c r="F1" s="3" t="inlineStr">
        <is>
          <t>2029E</t>
        </is>
      </c>
      <c r="G1" s="3" t="inlineStr">
        <is>
          <t>2030E</t>
        </is>
      </c>
    </row>
    <row r="2">
      <c r="A2" s="2" t="inlineStr">
        <is>
          <t>Store count</t>
        </is>
      </c>
      <c r="B2" s="2" t="n"/>
      <c r="C2" s="2">
        <f>B2</f>
        <v/>
      </c>
      <c r="D2" s="2">
        <f>C2</f>
        <v/>
      </c>
      <c r="E2" s="2">
        <f>D2</f>
        <v/>
      </c>
      <c r="F2" s="2">
        <f>E2</f>
        <v/>
      </c>
      <c r="G2" s="2">
        <f>F2</f>
        <v/>
      </c>
    </row>
    <row r="3">
      <c r="A3" s="2" t="inlineStr">
        <is>
          <t>Market share</t>
        </is>
      </c>
      <c r="B3" s="2" t="n"/>
      <c r="C3" s="2">
        <f>B3+Industry_Drivers!C5</f>
        <v/>
      </c>
      <c r="D3" s="2">
        <f>C3+Industry_Drivers!D5</f>
        <v/>
      </c>
      <c r="E3" s="2">
        <f>D3+Industry_Drivers!E5</f>
        <v/>
      </c>
      <c r="F3" s="2">
        <f>E3+Industry_Drivers!F5</f>
        <v/>
      </c>
      <c r="G3" s="2">
        <f>F3+Industry_Drivers!G5</f>
        <v/>
      </c>
    </row>
    <row r="4">
      <c r="A4" s="2" t="inlineStr">
        <is>
          <t>Revenue/store</t>
        </is>
      </c>
      <c r="B4" s="2" t="n"/>
      <c r="C4" s="2">
        <f>B4*(1+Industry_Drivers!C9)</f>
        <v/>
      </c>
      <c r="D4" s="2">
        <f>C4*(1+Industry_Drivers!D9)</f>
        <v/>
      </c>
      <c r="E4" s="2">
        <f>D4*(1+Industry_Drivers!E9)</f>
        <v/>
      </c>
      <c r="F4" s="2">
        <f>E4*(1+Industry_Drivers!F9)</f>
        <v/>
      </c>
      <c r="G4" s="2">
        <f>F4*(1+Industry_Drivers!G9)</f>
        <v/>
      </c>
    </row>
    <row r="5">
      <c r="A5" s="2" t="inlineStr">
        <is>
          <t>Revenue</t>
        </is>
      </c>
      <c r="B5" s="2" t="n"/>
      <c r="C5" s="2">
        <f>C2*C4*(1+(C3-B3))</f>
        <v/>
      </c>
      <c r="D5" s="2">
        <f>D2*D4*(1+(D3-C3))</f>
        <v/>
      </c>
      <c r="E5" s="2">
        <f>E2*E4*(1+(E3-D3))</f>
        <v/>
      </c>
      <c r="F5" s="2">
        <f>F2*F4*(1+(F3-E3))</f>
        <v/>
      </c>
      <c r="G5" s="2">
        <f>G2*G4*(1+(G3-F3))</f>
        <v/>
      </c>
    </row>
    <row r="6">
      <c r="A6" s="2" t="inlineStr">
        <is>
          <t>Growth</t>
        </is>
      </c>
      <c r="B6" s="2" t="n"/>
      <c r="C6" s="2">
        <f>IFERROR(C5/B5-1,"")</f>
        <v/>
      </c>
      <c r="D6" s="2">
        <f>IFERROR(D5/C5-1,"")</f>
        <v/>
      </c>
      <c r="E6" s="2">
        <f>IFERROR(E5/D5-1,"")</f>
        <v/>
      </c>
      <c r="F6" s="2">
        <f>IFERROR(F5/E5-1,"")</f>
        <v/>
      </c>
      <c r="G6" s="2">
        <f>IFERROR(G5/F5-1,"")</f>
        <v/>
      </c>
    </row>
    <row r="7">
      <c r="A7" s="2" t="inlineStr">
        <is>
          <t>EBIT margin</t>
        </is>
      </c>
      <c r="B7" s="2" t="n"/>
      <c r="C7" s="2">
        <f>Assumptions!B11</f>
        <v/>
      </c>
      <c r="D7" s="2">
        <f>Assumptions!B11</f>
        <v/>
      </c>
      <c r="E7" s="2">
        <f>Assumptions!B11</f>
        <v/>
      </c>
      <c r="F7" s="2">
        <f>Assumptions!B11</f>
        <v/>
      </c>
      <c r="G7" s="2">
        <f>Assumptions!B11</f>
        <v/>
      </c>
    </row>
    <row r="8">
      <c r="A8" s="2" t="inlineStr">
        <is>
          <t>EBIT</t>
        </is>
      </c>
      <c r="B8" s="2" t="n"/>
      <c r="C8" s="2">
        <f>C5*C7</f>
        <v/>
      </c>
      <c r="D8" s="2">
        <f>D5*D7</f>
        <v/>
      </c>
      <c r="E8" s="2">
        <f>E5*E7</f>
        <v/>
      </c>
      <c r="F8" s="2">
        <f>F5*F7</f>
        <v/>
      </c>
      <c r="G8" s="2">
        <f>G5*G7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Line</t>
        </is>
      </c>
      <c r="B1" s="3" t="inlineStr">
        <is>
          <t>2025A</t>
        </is>
      </c>
      <c r="C1" s="3" t="inlineStr">
        <is>
          <t>2026E</t>
        </is>
      </c>
      <c r="D1" s="3" t="inlineStr">
        <is>
          <t>2027E</t>
        </is>
      </c>
      <c r="E1" s="3" t="inlineStr">
        <is>
          <t>2028E</t>
        </is>
      </c>
      <c r="F1" s="3" t="inlineStr">
        <is>
          <t>2029E</t>
        </is>
      </c>
      <c r="G1" s="3" t="inlineStr">
        <is>
          <t>2030E</t>
        </is>
      </c>
    </row>
    <row r="2">
      <c r="A2" s="2" t="inlineStr">
        <is>
          <t>Store count</t>
        </is>
      </c>
      <c r="B2" s="2" t="n"/>
      <c r="C2" s="2">
        <f>B2+C3</f>
        <v/>
      </c>
      <c r="D2" s="2">
        <f>C2+D3</f>
        <v/>
      </c>
      <c r="E2" s="2">
        <f>D2+E3</f>
        <v/>
      </c>
      <c r="F2" s="2">
        <f>E2+F3</f>
        <v/>
      </c>
      <c r="G2" s="2">
        <f>F2+G3</f>
        <v/>
      </c>
    </row>
    <row r="3">
      <c r="A3" s="2" t="inlineStr">
        <is>
          <t>New stores</t>
        </is>
      </c>
      <c r="B3" s="2" t="n"/>
      <c r="C3" s="2">
        <f>Industry_Drivers!C6</f>
        <v/>
      </c>
      <c r="D3" s="2">
        <f>Industry_Drivers!D6</f>
        <v/>
      </c>
      <c r="E3" s="2">
        <f>Industry_Drivers!E6</f>
        <v/>
      </c>
      <c r="F3" s="2">
        <f>Industry_Drivers!F6</f>
        <v/>
      </c>
      <c r="G3" s="2">
        <f>Industry_Drivers!G6</f>
        <v/>
      </c>
    </row>
    <row r="4">
      <c r="A4" s="2" t="inlineStr">
        <is>
          <t>Revenue/store</t>
        </is>
      </c>
      <c r="B4" s="2" t="n"/>
      <c r="C4" s="2">
        <f>B4*(1+Industry_Drivers!C7)</f>
        <v/>
      </c>
      <c r="D4" s="2">
        <f>C4*(1+Industry_Drivers!D7)</f>
        <v/>
      </c>
      <c r="E4" s="2">
        <f>D4*(1+Industry_Drivers!E7)</f>
        <v/>
      </c>
      <c r="F4" s="2">
        <f>E4*(1+Industry_Drivers!F7)</f>
        <v/>
      </c>
      <c r="G4" s="2">
        <f>F4*(1+Industry_Drivers!G7)</f>
        <v/>
      </c>
    </row>
    <row r="5">
      <c r="A5" s="2" t="inlineStr">
        <is>
          <t>Same-store growth</t>
        </is>
      </c>
      <c r="B5" s="2" t="n"/>
      <c r="C5" s="2">
        <f>Industry_Drivers!C7</f>
        <v/>
      </c>
      <c r="D5" s="2">
        <f>Industry_Drivers!D7</f>
        <v/>
      </c>
      <c r="E5" s="2">
        <f>Industry_Drivers!E7</f>
        <v/>
      </c>
      <c r="F5" s="2">
        <f>Industry_Drivers!F7</f>
        <v/>
      </c>
      <c r="G5" s="2">
        <f>Industry_Drivers!G7</f>
        <v/>
      </c>
    </row>
    <row r="6">
      <c r="A6" s="2" t="inlineStr">
        <is>
          <t>Revenue</t>
        </is>
      </c>
      <c r="B6" s="2" t="n"/>
      <c r="C6" s="2">
        <f>C2*C4</f>
        <v/>
      </c>
      <c r="D6" s="2">
        <f>D2*D4</f>
        <v/>
      </c>
      <c r="E6" s="2">
        <f>E2*E4</f>
        <v/>
      </c>
      <c r="F6" s="2">
        <f>F2*F4</f>
        <v/>
      </c>
      <c r="G6" s="2">
        <f>G2*G4</f>
        <v/>
      </c>
    </row>
    <row r="7">
      <c r="A7" s="2" t="inlineStr">
        <is>
          <t>Growth</t>
        </is>
      </c>
      <c r="B7" s="2" t="n"/>
      <c r="C7" s="2">
        <f>IFERROR(C6/B6-1,"")</f>
        <v/>
      </c>
      <c r="D7" s="2">
        <f>IFERROR(D6/C6-1,"")</f>
        <v/>
      </c>
      <c r="E7" s="2">
        <f>IFERROR(E6/D6-1,"")</f>
        <v/>
      </c>
      <c r="F7" s="2">
        <f>IFERROR(F6/E6-1,"")</f>
        <v/>
      </c>
      <c r="G7" s="2">
        <f>IFERROR(G6/F6-1,"")</f>
        <v/>
      </c>
    </row>
    <row r="8">
      <c r="A8" s="2" t="inlineStr">
        <is>
          <t>EBIT margin</t>
        </is>
      </c>
      <c r="B8" s="2" t="n"/>
      <c r="C8" s="2">
        <f>MIN(Assumptions!B9,B8+0.008)</f>
        <v/>
      </c>
      <c r="D8" s="2">
        <f>MIN(Assumptions!B9,C8+0.008)</f>
        <v/>
      </c>
      <c r="E8" s="2">
        <f>MIN(Assumptions!B9,D8+0.008)</f>
        <v/>
      </c>
      <c r="F8" s="2">
        <f>MIN(Assumptions!B9,E8+0.008)</f>
        <v/>
      </c>
      <c r="G8" s="2">
        <f>MIN(Assumptions!B9,F8+0.008)</f>
        <v/>
      </c>
    </row>
    <row r="9">
      <c r="A9" s="2" t="inlineStr">
        <is>
          <t>EBIT</t>
        </is>
      </c>
      <c r="B9" s="2" t="n"/>
      <c r="C9" s="2">
        <f>C6*C8</f>
        <v/>
      </c>
      <c r="D9" s="2">
        <f>D6*D8</f>
        <v/>
      </c>
      <c r="E9" s="2">
        <f>E6*E8</f>
        <v/>
      </c>
      <c r="F9" s="2">
        <f>F6*F8</f>
        <v/>
      </c>
      <c r="G9" s="2">
        <f>G6*G8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40" customWidth="1" min="10" max="10"/>
  </cols>
  <sheetData>
    <row r="1">
      <c r="A1" s="3" t="inlineStr">
        <is>
          <t>Business / subsidiary</t>
        </is>
      </c>
      <c r="B1" s="3" t="inlineStr">
        <is>
          <t>2025A Revenue</t>
        </is>
      </c>
      <c r="C1" s="3" t="inlineStr">
        <is>
          <t>2026E Growth</t>
        </is>
      </c>
      <c r="D1" s="3" t="inlineStr">
        <is>
          <t>2027E Growth</t>
        </is>
      </c>
      <c r="E1" s="3" t="inlineStr">
        <is>
          <t>2028E Growth</t>
        </is>
      </c>
      <c r="F1" s="3" t="inlineStr">
        <is>
          <t>2029E Growth</t>
        </is>
      </c>
      <c r="G1" s="3" t="inlineStr">
        <is>
          <t>2030E Growth</t>
        </is>
      </c>
      <c r="H1" s="3" t="inlineStr">
        <is>
          <t>2026E Revenue</t>
        </is>
      </c>
      <c r="I1" s="3" t="inlineStr">
        <is>
          <t>2030E Revenue</t>
        </is>
      </c>
      <c r="J1" s="3" t="inlineStr">
        <is>
          <t>Notes</t>
        </is>
      </c>
    </row>
    <row r="2">
      <c r="A2" s="2" t="inlineStr">
        <is>
          <t>An Khang</t>
        </is>
      </c>
      <c r="B2" s="2" t="inlineStr"/>
      <c r="C2" s="2" t="n">
        <v>0.1</v>
      </c>
      <c r="D2" s="2" t="n">
        <v>0.08</v>
      </c>
      <c r="E2" s="2" t="n">
        <v>0.06</v>
      </c>
      <c r="F2" s="2" t="n">
        <v>0.05</v>
      </c>
      <c r="G2" s="2" t="n">
        <v>0.05</v>
      </c>
      <c r="H2" s="2">
        <f>B2*(1+C2)</f>
        <v/>
      </c>
      <c r="I2" s="2">
        <f>B2*(1+C2)*(1+D2)*(1+E2)*(1+F2)*(1+G2)</f>
        <v/>
      </c>
      <c r="J2" s="2" t="inlineStr">
        <is>
          <t>Nhà thuốc, currently nhỏ và volatile</t>
        </is>
      </c>
    </row>
    <row r="3">
      <c r="A3" s="2" t="inlineStr">
        <is>
          <t>AVAKids / other specialty retail</t>
        </is>
      </c>
      <c r="B3" s="2" t="inlineStr"/>
      <c r="C3" s="2" t="n">
        <v>0.12</v>
      </c>
      <c r="D3" s="2" t="n">
        <v>0.1</v>
      </c>
      <c r="E3" s="2" t="n">
        <v>0.08</v>
      </c>
      <c r="F3" s="2" t="n">
        <v>0.07000000000000001</v>
      </c>
      <c r="G3" s="2" t="n">
        <v>0.06</v>
      </c>
      <c r="H3" s="2">
        <f>B3*(1+C3)</f>
        <v/>
      </c>
      <c r="I3" s="2">
        <f>B3*(1+C3)*(1+D3)*(1+E3)*(1+F3)*(1+G3)</f>
        <v/>
      </c>
      <c r="J3" s="2" t="inlineStr">
        <is>
          <t>Nếu còn đóng góp doanh thu đáng kể</t>
        </is>
      </c>
    </row>
    <row r="4">
      <c r="A4" s="2" t="inlineStr">
        <is>
          <t>Online / services / others</t>
        </is>
      </c>
      <c r="B4" s="2" t="inlineStr"/>
      <c r="C4" s="2" t="n">
        <v>0.08</v>
      </c>
      <c r="D4" s="2" t="n">
        <v>0.07000000000000001</v>
      </c>
      <c r="E4" s="2" t="n">
        <v>0.06</v>
      </c>
      <c r="F4" s="2" t="n">
        <v>0.05</v>
      </c>
      <c r="G4" s="2" t="n">
        <v>0.05</v>
      </c>
      <c r="H4" s="2">
        <f>B4*(1+C4)</f>
        <v/>
      </c>
      <c r="I4" s="2">
        <f>B4*(1+C4)*(1+D4)*(1+E4)*(1+F4)*(1+G4)</f>
        <v/>
      </c>
      <c r="J4" s="2" t="inlineStr">
        <is>
          <t>Gộp mảng nhỏ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Line</t>
        </is>
      </c>
      <c r="B1" s="3" t="inlineStr">
        <is>
          <t>2025A</t>
        </is>
      </c>
      <c r="C1" s="3" t="inlineStr">
        <is>
          <t>2026E</t>
        </is>
      </c>
      <c r="D1" s="3" t="inlineStr">
        <is>
          <t>2027E</t>
        </is>
      </c>
      <c r="E1" s="3" t="inlineStr">
        <is>
          <t>2028E</t>
        </is>
      </c>
      <c r="F1" s="3" t="inlineStr">
        <is>
          <t>2029E</t>
        </is>
      </c>
      <c r="G1" s="3" t="inlineStr">
        <is>
          <t>2030E</t>
        </is>
      </c>
    </row>
    <row r="2">
      <c r="A2" s="2" t="inlineStr">
        <is>
          <t>TGDD revenue</t>
        </is>
      </c>
      <c r="B2" s="2">
        <f>TGDD_Forecast!B4</f>
        <v/>
      </c>
      <c r="C2" s="2">
        <f>TGDD_Forecast!C4</f>
        <v/>
      </c>
      <c r="D2" s="2">
        <f>TGDD_Forecast!D4</f>
        <v/>
      </c>
      <c r="E2" s="2">
        <f>TGDD_Forecast!E4</f>
        <v/>
      </c>
      <c r="F2" s="2">
        <f>TGDD_Forecast!F4</f>
        <v/>
      </c>
      <c r="G2" s="2">
        <f>TGDD_Forecast!G4</f>
        <v/>
      </c>
    </row>
    <row r="3">
      <c r="A3" s="2" t="inlineStr">
        <is>
          <t>DMX revenue</t>
        </is>
      </c>
      <c r="B3" s="2">
        <f>DMX_Forecast!B5</f>
        <v/>
      </c>
      <c r="C3" s="2">
        <f>DMX_Forecast!C5</f>
        <v/>
      </c>
      <c r="D3" s="2">
        <f>DMX_Forecast!D5</f>
        <v/>
      </c>
      <c r="E3" s="2">
        <f>DMX_Forecast!E5</f>
        <v/>
      </c>
      <c r="F3" s="2">
        <f>DMX_Forecast!F5</f>
        <v/>
      </c>
      <c r="G3" s="2">
        <f>DMX_Forecast!G5</f>
        <v/>
      </c>
    </row>
    <row r="4">
      <c r="A4" s="2" t="inlineStr">
        <is>
          <t>BHX revenue</t>
        </is>
      </c>
      <c r="B4" s="2">
        <f>BHX_Forecast!B6</f>
        <v/>
      </c>
      <c r="C4" s="2">
        <f>BHX_Forecast!C6</f>
        <v/>
      </c>
      <c r="D4" s="2">
        <f>BHX_Forecast!D6</f>
        <v/>
      </c>
      <c r="E4" s="2">
        <f>BHX_Forecast!E6</f>
        <v/>
      </c>
      <c r="F4" s="2">
        <f>BHX_Forecast!F6</f>
        <v/>
      </c>
      <c r="G4" s="2">
        <f>BHX_Forecast!G6</f>
        <v/>
      </c>
    </row>
    <row r="5">
      <c r="A5" s="2" t="inlineStr">
        <is>
          <t>Other revenue</t>
        </is>
      </c>
      <c r="B5" s="2">
        <f>SUM(Subsidiaries!B2:B4)</f>
        <v/>
      </c>
      <c r="C5" s="2">
        <f>IF(C$1="2026E",SUM(Subsidiaries!H2:H4),B5*1.06)</f>
        <v/>
      </c>
      <c r="D5" s="2">
        <f>IF(D$1="2026E",SUM(Subsidiaries!H2:H4),C5*1.06)</f>
        <v/>
      </c>
      <c r="E5" s="2">
        <f>IF(E$1="2026E",SUM(Subsidiaries!H2:H4),D5*1.06)</f>
        <v/>
      </c>
      <c r="F5" s="2">
        <f>IF(F$1="2026E",SUM(Subsidiaries!H2:H4),E5*1.06)</f>
        <v/>
      </c>
      <c r="G5" s="2">
        <f>IF(G$1="2026E",SUM(Subsidiaries!H2:H4),F5*1.06)</f>
        <v/>
      </c>
    </row>
    <row r="6">
      <c r="A6" s="2" t="inlineStr">
        <is>
          <t>Consolidated revenue</t>
        </is>
      </c>
      <c r="B6" s="2">
        <f>SUM(B2:B5)</f>
        <v/>
      </c>
      <c r="C6" s="2">
        <f>SUM(C2:C5)</f>
        <v/>
      </c>
      <c r="D6" s="2">
        <f>SUM(D2:D5)</f>
        <v/>
      </c>
      <c r="E6" s="2">
        <f>SUM(E2:E5)</f>
        <v/>
      </c>
      <c r="F6" s="2">
        <f>SUM(F2:F5)</f>
        <v/>
      </c>
      <c r="G6" s="2">
        <f>SUM(G2:G5)</f>
        <v/>
      </c>
    </row>
    <row r="7">
      <c r="A7" s="2" t="inlineStr">
        <is>
          <t>Growth</t>
        </is>
      </c>
      <c r="B7" s="2" t="n"/>
      <c r="C7" s="2">
        <f>IFERROR(C6/B6-1,"")</f>
        <v/>
      </c>
      <c r="D7" s="2">
        <f>IFERROR(D6/C6-1,"")</f>
        <v/>
      </c>
      <c r="E7" s="2">
        <f>IFERROR(E6/D6-1,"")</f>
        <v/>
      </c>
      <c r="F7" s="2">
        <f>IFERROR(F6/E6-1,"")</f>
        <v/>
      </c>
      <c r="G7" s="2">
        <f>IFERROR(G6/F6-1,"")</f>
        <v/>
      </c>
    </row>
    <row r="8">
      <c r="A8" s="2" t="inlineStr">
        <is>
          <t>Consolidated EBIT</t>
        </is>
      </c>
      <c r="B8" s="2">
        <f>(B2*TGDD_Forecast!B6+B3*DMX_Forecast!B7+B4*BHX_Forecast!B8)/B6</f>
        <v/>
      </c>
      <c r="C8" s="2">
        <f>(C2*TGDD_Forecast!C6+C3*DMX_Forecast!C7+C4*BHX_Forecast!C8)/C6</f>
        <v/>
      </c>
      <c r="D8" s="2">
        <f>(D2*TGDD_Forecast!D6+D3*DMX_Forecast!D7+D4*BHX_Forecast!D8)/D6</f>
        <v/>
      </c>
      <c r="E8" s="2">
        <f>(E2*TGDD_Forecast!E6+E3*DMX_Forecast!E7+E4*BHX_Forecast!E8)/E6</f>
        <v/>
      </c>
      <c r="F8" s="2">
        <f>(F2*TGDD_Forecast!F6+F3*DMX_Forecast!F7+F4*BHX_Forecast!F8)/F6</f>
        <v/>
      </c>
      <c r="G8" s="2">
        <f>(G2*TGDD_Forecast!G6+G3*DMX_Forecast!G7+G4*BHX_Forecast!G8)/G6</f>
        <v/>
      </c>
    </row>
    <row r="9">
      <c r="A9" s="2" t="inlineStr">
        <is>
          <t>EBIT margin</t>
        </is>
      </c>
      <c r="B9" s="2">
        <f>(B2*0+B3*0+B4*0)</f>
        <v/>
      </c>
      <c r="C9" s="2">
        <f>(C2*TGDD_Forecast!C7+C3*DMX_Forecast!C8+C4*BHX_Forecast!C9)</f>
        <v/>
      </c>
      <c r="D9" s="2">
        <f>(D2*TGDD_Forecast!D7+D3*DMX_Forecast!D8+D4*BHX_Forecast!D9)</f>
        <v/>
      </c>
      <c r="E9" s="2">
        <f>(E2*TGDD_Forecast!E7+E3*DMX_Forecast!E8+E4*BHX_Forecast!E9)</f>
        <v/>
      </c>
      <c r="F9" s="2">
        <f>(F2*TGDD_Forecast!F7+F3*DMX_Forecast!F8+F4*BHX_Forecast!F9)</f>
        <v/>
      </c>
      <c r="G9" s="2">
        <f>(G2*TGDD_Forecast!G7+G3*DMX_Forecast!G8+G4*BHX_Forecast!G9)</f>
        <v/>
      </c>
    </row>
    <row r="10">
      <c r="A10" s="2" t="inlineStr">
        <is>
          <t>D&amp;A</t>
        </is>
      </c>
      <c r="B10" s="2">
        <f>B6*0.015</f>
        <v/>
      </c>
      <c r="C10" s="2">
        <f>C6*0.015</f>
        <v/>
      </c>
      <c r="D10" s="2">
        <f>D6*0.015</f>
        <v/>
      </c>
      <c r="E10" s="2">
        <f>E6*0.015</f>
        <v/>
      </c>
      <c r="F10" s="2">
        <f>F6*0.015</f>
        <v/>
      </c>
      <c r="G10" s="2">
        <f>G6*0.015</f>
        <v/>
      </c>
    </row>
    <row r="11">
      <c r="A11" s="2" t="inlineStr">
        <is>
          <t>Capex</t>
        </is>
      </c>
      <c r="B11" s="2">
        <f>-B6*0.018</f>
        <v/>
      </c>
      <c r="C11" s="2">
        <f>-C6*0.018</f>
        <v/>
      </c>
      <c r="D11" s="2">
        <f>-D6*0.018</f>
        <v/>
      </c>
      <c r="E11" s="2">
        <f>-E6*0.018</f>
        <v/>
      </c>
      <c r="F11" s="2">
        <f>-F6*0.018</f>
        <v/>
      </c>
      <c r="G11" s="2">
        <f>-G6*0.018</f>
        <v/>
      </c>
    </row>
    <row r="12">
      <c r="A12" s="2" t="inlineStr">
        <is>
          <t>Change NWC</t>
        </is>
      </c>
      <c r="B12" s="2" t="n">
        <v>0</v>
      </c>
      <c r="C12" s="2">
        <f>-(C6-B6)*0.08</f>
        <v/>
      </c>
      <c r="D12" s="2">
        <f>-(D6-C6)*0.08</f>
        <v/>
      </c>
      <c r="E12" s="2">
        <f>-(E6-D6)*0.08</f>
        <v/>
      </c>
      <c r="F12" s="2">
        <f>-(F6-E6)*0.08</f>
        <v/>
      </c>
      <c r="G12" s="2">
        <f>-(G6-F6)*0.08</f>
        <v/>
      </c>
    </row>
    <row r="13">
      <c r="A13" s="2" t="inlineStr">
        <is>
          <t>FCFF</t>
        </is>
      </c>
      <c r="B13" s="2">
        <f>B9+B10+B11+B12</f>
        <v/>
      </c>
      <c r="C13" s="2">
        <f>C9+C10+C11+C12</f>
        <v/>
      </c>
      <c r="D13" s="2">
        <f>D9+D10+D11+D12</f>
        <v/>
      </c>
      <c r="E13" s="2">
        <f>E9+E10+E11+E12</f>
        <v/>
      </c>
      <c r="F13" s="2">
        <f>F9+F10+F11+F12</f>
        <v/>
      </c>
      <c r="G13" s="2">
        <f>G9+G10+G11+G12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s="2" t="inlineStr">
        <is>
          <t>PV FCFF 2026-2030</t>
        </is>
      </c>
      <c r="B2" s="2">
        <f>SUM(Consolidated_Forecast!C13:G13/(1+Assumptions!B2)^{1,2,3,4,5})</f>
        <v/>
      </c>
    </row>
    <row r="3">
      <c r="A3" s="2" t="inlineStr">
        <is>
          <t>Terminal value</t>
        </is>
      </c>
      <c r="B3" s="2">
        <f>Consolidated_Forecast!G13*(1+Assumptions!B3)/(Assumptions!B2-Assumptions!B3)</f>
        <v/>
      </c>
    </row>
    <row r="4">
      <c r="A4" s="2" t="inlineStr">
        <is>
          <t>PV Terminal</t>
        </is>
      </c>
      <c r="B4" s="2">
        <f>B3/(1+Assumptions!B2)^5</f>
        <v/>
      </c>
    </row>
    <row r="5">
      <c r="A5" s="2" t="inlineStr">
        <is>
          <t>Enterprise value</t>
        </is>
      </c>
      <c r="B5" s="2">
        <f>B2+B4</f>
        <v/>
      </c>
    </row>
    <row r="6">
      <c r="A6" s="2" t="inlineStr">
        <is>
          <t>Net debt</t>
        </is>
      </c>
      <c r="B6" s="2">
        <f>Assumptions!B5</f>
        <v/>
      </c>
    </row>
    <row r="7">
      <c r="A7" s="2" t="inlineStr">
        <is>
          <t>Equity value</t>
        </is>
      </c>
      <c r="B7" s="2">
        <f>B5-B6</f>
        <v/>
      </c>
    </row>
    <row r="8">
      <c r="A8" s="2" t="inlineStr">
        <is>
          <t>Shares</t>
        </is>
      </c>
      <c r="B8" s="2">
        <f>Assumptions!B6</f>
        <v/>
      </c>
    </row>
    <row r="9">
      <c r="A9" s="2" t="inlineStr">
        <is>
          <t>Value/share VND</t>
        </is>
      </c>
      <c r="B9" s="2">
        <f>B7*1000/B8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6" customWidth="1" min="4" max="4"/>
    <col width="40" customWidth="1" min="5" max="5"/>
  </cols>
  <sheetData>
    <row r="1">
      <c r="A1" s="3" t="inlineStr">
        <is>
          <t>Segment</t>
        </is>
      </c>
      <c r="B1" s="3" t="inlineStr">
        <is>
          <t>2030 Revenue</t>
        </is>
      </c>
      <c r="C1" s="3" t="inlineStr">
        <is>
          <t>Multiple</t>
        </is>
      </c>
      <c r="D1" s="3" t="inlineStr">
        <is>
          <t>EV</t>
        </is>
      </c>
      <c r="E1" s="3" t="inlineStr">
        <is>
          <t>Notes</t>
        </is>
      </c>
    </row>
    <row r="2">
      <c r="A2" s="2" t="inlineStr">
        <is>
          <t>TGDD</t>
        </is>
      </c>
      <c r="B2" s="2">
        <f>TGDD_Forecast!G4</f>
        <v/>
      </c>
      <c r="C2" s="2" t="n">
        <v>0.35</v>
      </c>
      <c r="D2" s="2">
        <f>B2*C2</f>
        <v/>
      </c>
      <c r="E2" s="2" t="inlineStr">
        <is>
          <t>Mature mobile retail</t>
        </is>
      </c>
    </row>
    <row r="3">
      <c r="A3" s="2" t="inlineStr">
        <is>
          <t>ĐMX</t>
        </is>
      </c>
      <c r="B3" s="2">
        <f>DMX_Forecast!G5</f>
        <v/>
      </c>
      <c r="C3" s="2" t="n">
        <v>0.45</v>
      </c>
      <c r="D3" s="2">
        <f>B3*C3</f>
        <v/>
      </c>
      <c r="E3" s="2" t="inlineStr">
        <is>
          <t>Can rerate if IPO</t>
        </is>
      </c>
    </row>
    <row r="4">
      <c r="A4" s="2" t="inlineStr">
        <is>
          <t>BHX</t>
        </is>
      </c>
      <c r="B4" s="2">
        <f>BHX_Forecast!G6</f>
        <v/>
      </c>
      <c r="C4" s="2" t="n">
        <v>0.55</v>
      </c>
      <c r="D4" s="2">
        <f>B4*C4</f>
        <v/>
      </c>
      <c r="E4" s="2" t="inlineStr">
        <is>
          <t>Optionality from grocery scale</t>
        </is>
      </c>
    </row>
    <row r="5">
      <c r="A5" s="2" t="inlineStr">
        <is>
          <t>Other</t>
        </is>
      </c>
      <c r="B5" s="2">
        <f>Consolidated_Forecast!G5</f>
        <v/>
      </c>
      <c r="C5" s="2" t="n">
        <v>0.2</v>
      </c>
      <c r="D5" s="2">
        <f>B5*C5</f>
        <v/>
      </c>
      <c r="E5" s="2" t="inlineStr">
        <is>
          <t>Small businesses</t>
        </is>
      </c>
    </row>
    <row r="6">
      <c r="A6" s="2" t="n"/>
      <c r="B6" s="2" t="n"/>
      <c r="C6" s="2" t="n"/>
      <c r="D6" s="2" t="n"/>
      <c r="E6" s="2" t="n"/>
    </row>
    <row r="7">
      <c r="A7" s="2" t="inlineStr">
        <is>
          <t>Gross EV</t>
        </is>
      </c>
      <c r="B7" s="2" t="n"/>
      <c r="C7" s="2" t="n"/>
      <c r="D7" s="2">
        <f>SUM(D2:D5)</f>
        <v/>
      </c>
      <c r="E7" s="2" t="n"/>
    </row>
    <row r="8">
      <c r="A8" s="2" t="inlineStr">
        <is>
          <t>Net debt</t>
        </is>
      </c>
      <c r="B8" s="2" t="n"/>
      <c r="C8" s="2" t="n"/>
      <c r="D8" s="2">
        <f>Assumptions!B5</f>
        <v/>
      </c>
      <c r="E8" s="2" t="n"/>
    </row>
    <row r="9">
      <c r="A9" s="2" t="inlineStr">
        <is>
          <t>Equity value</t>
        </is>
      </c>
      <c r="B9" s="2" t="n"/>
      <c r="C9" s="2" t="n"/>
      <c r="D9" s="2">
        <f>D7-D8</f>
        <v/>
      </c>
      <c r="E9" s="2" t="n"/>
    </row>
    <row r="10">
      <c r="A10" s="2" t="inlineStr">
        <is>
          <t>Value/share VND</t>
        </is>
      </c>
      <c r="B10" s="2" t="n"/>
      <c r="C10" s="2" t="n"/>
      <c r="D10" s="2">
        <f>D9*1000/Assumptions!B6</f>
        <v/>
      </c>
      <c r="E1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80" customWidth="1" min="3" max="3"/>
  </cols>
  <sheetData>
    <row r="1">
      <c r="A1" s="3" t="inlineStr">
        <is>
          <t>Item</t>
        </is>
      </c>
      <c r="B1" s="3" t="inlineStr">
        <is>
          <t>Value</t>
        </is>
      </c>
      <c r="C1" s="3" t="inlineStr">
        <is>
          <t>Interpretation</t>
        </is>
      </c>
    </row>
    <row r="2">
      <c r="A2" s="2" t="inlineStr">
        <is>
          <t>ĐMX IPO valuation</t>
        </is>
      </c>
      <c r="B2" s="2">
        <f>Assumptions!B7</f>
        <v/>
      </c>
      <c r="C2" s="2" t="inlineStr">
        <is>
          <t>Post-money valuation giả định của ĐMX</t>
        </is>
      </c>
    </row>
    <row r="3">
      <c r="A3" s="2" t="inlineStr">
        <is>
          <t>Stake sold</t>
        </is>
      </c>
      <c r="B3" s="2">
        <f>Assumptions!B8</f>
        <v/>
      </c>
      <c r="C3" s="2" t="inlineStr">
        <is>
          <t>Tỷ lệ IPO/spin-off</t>
        </is>
      </c>
    </row>
    <row r="4">
      <c r="A4" s="2" t="inlineStr">
        <is>
          <t>Cash proceeds</t>
        </is>
      </c>
      <c r="B4" s="2">
        <f>B2*B3</f>
        <v/>
      </c>
      <c r="C4" s="2" t="inlineStr">
        <is>
          <t>Tiền về nếu bán cổ phần</t>
        </is>
      </c>
    </row>
    <row r="5">
      <c r="A5" s="2" t="inlineStr">
        <is>
          <t>Retained stake</t>
        </is>
      </c>
      <c r="B5" s="2">
        <f>1-B3</f>
        <v/>
      </c>
      <c r="C5" s="2" t="inlineStr">
        <is>
          <t>Tỷ lệ MWG còn nắm</t>
        </is>
      </c>
    </row>
    <row r="6">
      <c r="A6" s="2" t="inlineStr">
        <is>
          <t>Retained value</t>
        </is>
      </c>
      <c r="B6" s="2">
        <f>B2*B5</f>
        <v/>
      </c>
      <c r="C6" s="2" t="inlineStr">
        <is>
          <t>Giá trị phần còn nắm</t>
        </is>
      </c>
    </row>
    <row r="7">
      <c r="A7" s="2" t="inlineStr">
        <is>
          <t>Implied uplift vs SOTP base</t>
        </is>
      </c>
      <c r="B7" s="2">
        <f>B2-SOTP!D3</f>
        <v/>
      </c>
      <c r="C7" s="2" t="inlineStr">
        <is>
          <t>Nếu market value IPO &gt; base multiple</t>
        </is>
      </c>
    </row>
    <row r="8">
      <c r="A8" s="2" t="inlineStr">
        <is>
          <t>IPO logic</t>
        </is>
      </c>
      <c r="B8" s="2" t="inlineStr">
        <is>
          <t>IPO ĐMX giúp mở khóa định giá segment, tăng minh bạch, có thể giảm nợ/tài trợ BHX.</t>
        </is>
      </c>
      <c r="C8" s="2" t="inlineStr">
        <is>
          <t>Tác động mạnh nhất lên SOTP và capital structure hơn là chỉ P/E ngắn hạn.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7" t="inlineStr">
        <is>
          <t>Value/share sensitivity</t>
        </is>
      </c>
      <c r="B1" s="2" t="n"/>
      <c r="C1" s="2" t="n"/>
      <c r="D1" s="2" t="n"/>
      <c r="E1" s="2" t="n"/>
      <c r="F1" s="2" t="n"/>
    </row>
    <row r="2">
      <c r="A2" s="2" t="inlineStr">
        <is>
          <t>WACC vs g</t>
        </is>
      </c>
      <c r="B2" s="2" t="n">
        <v>0.02</v>
      </c>
      <c r="C2" s="2" t="n">
        <v>0.03</v>
      </c>
      <c r="D2" s="2" t="n">
        <v>0.035</v>
      </c>
      <c r="E2" s="2" t="n">
        <v>0.04</v>
      </c>
      <c r="F2" s="2" t="n">
        <v>0.045</v>
      </c>
    </row>
    <row r="3">
      <c r="A3" s="2" t="n">
        <v>0.09</v>
      </c>
      <c r="B3" s="2">
        <f>(((SUM(Consolidated_Forecast!C13:G13/(1+0.09)^{1,2,3,4,5}))+(Consolidated_Forecast!G13*(1+0.02)/(0.09-0.02)/(1+0.09)^5)-Assumptions!B5)*1000/Assumptions!B6)</f>
        <v/>
      </c>
      <c r="C3" s="2">
        <f>(((SUM(Consolidated_Forecast!C13:G13/(1+0.09)^{1,2,3,4,5}))+(Consolidated_Forecast!G13*(1+0.03)/(0.09-0.03)/(1+0.09)^5)-Assumptions!B5)*1000/Assumptions!B6)</f>
        <v/>
      </c>
      <c r="D3" s="2">
        <f>(((SUM(Consolidated_Forecast!C13:G13/(1+0.09)^{1,2,3,4,5}))+(Consolidated_Forecast!G13*(1+0.035)/(0.09-0.035)/(1+0.09)^5)-Assumptions!B5)*1000/Assumptions!B6)</f>
        <v/>
      </c>
      <c r="E3" s="2">
        <f>(((SUM(Consolidated_Forecast!C13:G13/(1+0.09)^{1,2,3,4,5}))+(Consolidated_Forecast!G13*(1+0.04)/(0.09-0.04)/(1+0.09)^5)-Assumptions!B5)*1000/Assumptions!B6)</f>
        <v/>
      </c>
      <c r="F3" s="2">
        <f>(((SUM(Consolidated_Forecast!C13:G13/(1+0.09)^{1,2,3,4,5}))+(Consolidated_Forecast!G13*(1+0.045)/(0.09-0.045)/(1+0.09)^5)-Assumptions!B5)*1000/Assumptions!B6)</f>
        <v/>
      </c>
    </row>
    <row r="4">
      <c r="A4" s="2" t="n">
        <v>0.1</v>
      </c>
      <c r="B4" s="2">
        <f>(((SUM(Consolidated_Forecast!C13:G13/(1+0.1)^{1,2,3,4,5}))+(Consolidated_Forecast!G13*(1+0.02)/(0.1-0.02)/(1+0.1)^5)-Assumptions!B5)*1000/Assumptions!B6)</f>
        <v/>
      </c>
      <c r="C4" s="2">
        <f>(((SUM(Consolidated_Forecast!C13:G13/(1+0.1)^{1,2,3,4,5}))+(Consolidated_Forecast!G13*(1+0.03)/(0.1-0.03)/(1+0.1)^5)-Assumptions!B5)*1000/Assumptions!B6)</f>
        <v/>
      </c>
      <c r="D4" s="2">
        <f>(((SUM(Consolidated_Forecast!C13:G13/(1+0.1)^{1,2,3,4,5}))+(Consolidated_Forecast!G13*(1+0.035)/(0.1-0.035)/(1+0.1)^5)-Assumptions!B5)*1000/Assumptions!B6)</f>
        <v/>
      </c>
      <c r="E4" s="2">
        <f>(((SUM(Consolidated_Forecast!C13:G13/(1+0.1)^{1,2,3,4,5}))+(Consolidated_Forecast!G13*(1+0.04)/(0.1-0.04)/(1+0.1)^5)-Assumptions!B5)*1000/Assumptions!B6)</f>
        <v/>
      </c>
      <c r="F4" s="2">
        <f>(((SUM(Consolidated_Forecast!C13:G13/(1+0.1)^{1,2,3,4,5}))+(Consolidated_Forecast!G13*(1+0.045)/(0.1-0.045)/(1+0.1)^5)-Assumptions!B5)*1000/Assumptions!B6)</f>
        <v/>
      </c>
    </row>
    <row r="5">
      <c r="A5" s="2" t="n">
        <v>0.105</v>
      </c>
      <c r="B5" s="2">
        <f>(((SUM(Consolidated_Forecast!C13:G13/(1+0.105)^{1,2,3,4,5}))+(Consolidated_Forecast!G13*(1+0.02)/(0.105-0.02)/(1+0.105)^5)-Assumptions!B5)*1000/Assumptions!B6)</f>
        <v/>
      </c>
      <c r="C5" s="2">
        <f>(((SUM(Consolidated_Forecast!C13:G13/(1+0.105)^{1,2,3,4,5}))+(Consolidated_Forecast!G13*(1+0.03)/(0.105-0.03)/(1+0.105)^5)-Assumptions!B5)*1000/Assumptions!B6)</f>
        <v/>
      </c>
      <c r="D5" s="2">
        <f>(((SUM(Consolidated_Forecast!C13:G13/(1+0.105)^{1,2,3,4,5}))+(Consolidated_Forecast!G13*(1+0.035)/(0.105-0.035)/(1+0.105)^5)-Assumptions!B5)*1000/Assumptions!B6)</f>
        <v/>
      </c>
      <c r="E5" s="2">
        <f>(((SUM(Consolidated_Forecast!C13:G13/(1+0.105)^{1,2,3,4,5}))+(Consolidated_Forecast!G13*(1+0.04)/(0.105-0.04)/(1+0.105)^5)-Assumptions!B5)*1000/Assumptions!B6)</f>
        <v/>
      </c>
      <c r="F5" s="2">
        <f>(((SUM(Consolidated_Forecast!C13:G13/(1+0.105)^{1,2,3,4,5}))+(Consolidated_Forecast!G13*(1+0.045)/(0.105-0.045)/(1+0.105)^5)-Assumptions!B5)*1000/Assumptions!B6)</f>
        <v/>
      </c>
    </row>
    <row r="6">
      <c r="A6" s="2" t="n">
        <v>0.11</v>
      </c>
      <c r="B6" s="2">
        <f>(((SUM(Consolidated_Forecast!C13:G13/(1+0.11)^{1,2,3,4,5}))+(Consolidated_Forecast!G13*(1+0.02)/(0.11-0.02)/(1+0.11)^5)-Assumptions!B5)*1000/Assumptions!B6)</f>
        <v/>
      </c>
      <c r="C6" s="2">
        <f>(((SUM(Consolidated_Forecast!C13:G13/(1+0.11)^{1,2,3,4,5}))+(Consolidated_Forecast!G13*(1+0.03)/(0.11-0.03)/(1+0.11)^5)-Assumptions!B5)*1000/Assumptions!B6)</f>
        <v/>
      </c>
      <c r="D6" s="2">
        <f>(((SUM(Consolidated_Forecast!C13:G13/(1+0.11)^{1,2,3,4,5}))+(Consolidated_Forecast!G13*(1+0.035)/(0.11-0.035)/(1+0.11)^5)-Assumptions!B5)*1000/Assumptions!B6)</f>
        <v/>
      </c>
      <c r="E6" s="2">
        <f>(((SUM(Consolidated_Forecast!C13:G13/(1+0.11)^{1,2,3,4,5}))+(Consolidated_Forecast!G13*(1+0.04)/(0.11-0.04)/(1+0.11)^5)-Assumptions!B5)*1000/Assumptions!B6)</f>
        <v/>
      </c>
      <c r="F6" s="2">
        <f>(((SUM(Consolidated_Forecast!C13:G13/(1+0.11)^{1,2,3,4,5}))+(Consolidated_Forecast!G13*(1+0.045)/(0.11-0.045)/(1+0.11)^5)-Assumptions!B5)*1000/Assumptions!B6)</f>
        <v/>
      </c>
    </row>
    <row r="7">
      <c r="A7" s="2" t="n">
        <v>0.12</v>
      </c>
      <c r="B7" s="2">
        <f>(((SUM(Consolidated_Forecast!C13:G13/(1+0.12)^{1,2,3,4,5}))+(Consolidated_Forecast!G13*(1+0.02)/(0.12-0.02)/(1+0.12)^5)-Assumptions!B5)*1000/Assumptions!B6)</f>
        <v/>
      </c>
      <c r="C7" s="2">
        <f>(((SUM(Consolidated_Forecast!C13:G13/(1+0.12)^{1,2,3,4,5}))+(Consolidated_Forecast!G13*(1+0.03)/(0.12-0.03)/(1+0.12)^5)-Assumptions!B5)*1000/Assumptions!B6)</f>
        <v/>
      </c>
      <c r="D7" s="2">
        <f>(((SUM(Consolidated_Forecast!C13:G13/(1+0.12)^{1,2,3,4,5}))+(Consolidated_Forecast!G13*(1+0.035)/(0.12-0.035)/(1+0.12)^5)-Assumptions!B5)*1000/Assumptions!B6)</f>
        <v/>
      </c>
      <c r="E7" s="2">
        <f>(((SUM(Consolidated_Forecast!C13:G13/(1+0.12)^{1,2,3,4,5}))+(Consolidated_Forecast!G13*(1+0.04)/(0.12-0.04)/(1+0.12)^5)-Assumptions!B5)*1000/Assumptions!B6)</f>
        <v/>
      </c>
      <c r="F7" s="2">
        <f>(((SUM(Consolidated_Forecast!C13:G13/(1+0.12)^{1,2,3,4,5}))+(Consolidated_Forecast!G13*(1+0.045)/(0.12-0.045)/(1+0.12)^5)-Assumptions!B5)*1000/Assumptions!B6)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2" customWidth="1" min="2" max="2"/>
    <col width="26" customWidth="1" min="3" max="3"/>
  </cols>
  <sheetData>
    <row r="1">
      <c r="A1" s="3" t="inlineStr">
        <is>
          <t>Nguồn</t>
        </is>
      </c>
      <c r="B1" s="3" t="inlineStr">
        <is>
          <t>Link / file</t>
        </is>
      </c>
      <c r="C1" s="3" t="inlineStr">
        <is>
          <t>Trạng thái</t>
        </is>
      </c>
    </row>
    <row r="2">
      <c r="A2" s="2" t="inlineStr">
        <is>
          <t>CafeF BCTC MWG list</t>
        </is>
      </c>
      <c r="B2" s="2" t="inlineStr">
        <is>
          <t>tmp_mwg_bctc_list.json</t>
        </is>
      </c>
      <c r="C2" s="2" t="inlineStr">
        <is>
          <t>Đã lấy được list tới 2026</t>
        </is>
      </c>
    </row>
    <row r="3">
      <c r="A3" s="2" t="inlineStr">
        <is>
          <t>MWG 2025 audited consolidated PDF</t>
        </is>
      </c>
      <c r="B3" s="2" t="inlineStr">
        <is>
          <t>MWG_BCTC_Hop_Nhat_2025_Kiem_Toan.pdf</t>
        </is>
      </c>
      <c r="C3" s="2" t="inlineStr">
        <is>
          <t>Đã tải về</t>
        </is>
      </c>
    </row>
    <row r="4">
      <c r="A4" s="2" t="inlineStr">
        <is>
          <t>CafeF BCTC page html</t>
        </is>
      </c>
      <c r="B4" s="2" t="inlineStr">
        <is>
          <t>tmp_mwg_cafef_financials.html</t>
        </is>
      </c>
      <c r="C4" s="2" t="inlineStr">
        <is>
          <t>Đã lưu local</t>
        </is>
      </c>
    </row>
    <row r="5">
      <c r="A5" s="2" t="inlineStr">
        <is>
          <t>Model notes</t>
        </is>
      </c>
      <c r="B5" s="2" t="inlineStr">
        <is>
          <t>MWG_model_notes.md</t>
        </is>
      </c>
      <c r="C5" s="2" t="inlineStr">
        <is>
          <t>Đã tạo</t>
        </is>
      </c>
    </row>
    <row r="6">
      <c r="A6" s="2" t="inlineStr">
        <is>
          <t>Cần cập nhật thủ công thêm</t>
        </is>
      </c>
      <c r="B6" s="2" t="inlineStr">
        <is>
          <t>Store count, DMX market share, BHX market share/revenue/store từ IR/presentation</t>
        </is>
      </c>
      <c r="C6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2026-05-31T11:12:26Z</dcterms:created>
  <dcterms:modified xmlns:dcterms="http://purl.org/dc/terms/" xmlns:xsi="http://www.w3.org/2001/XMLSchema-instance" xsi:type="dcterms:W3CDTF">2026-05-31T11:12:26Z</dcterms:modified>
</cp:coreProperties>
</file>